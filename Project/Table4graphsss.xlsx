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defaultThemeVersion="164011"/>
  <mc:AlternateContent xmlns:mc="http://schemas.openxmlformats.org/markup-compatibility/2006">
    <mc:Choice Requires="x15">
      <x15ac:absPath xmlns:x15ac="http://schemas.microsoft.com/office/spreadsheetml/2010/11/ac" url="C:\ProjectF\info\"/>
    </mc:Choice>
  </mc:AlternateContent>
  <bookViews>
    <workbookView xWindow="0" yWindow="0" windowWidth="21570" windowHeight="7965" firstSheet="4" activeTab="5"/>
  </bookViews>
  <sheets>
    <sheet name="LULC_Change Analysis" sheetId="6" r:id="rId1"/>
    <sheet name="LULC_2025" sheetId="2" r:id="rId2"/>
    <sheet name="LULC_2015" sheetId="3" r:id="rId3"/>
    <sheet name="LULC_1995" sheetId="4" r:id="rId4"/>
    <sheet name="Annual Rate of Change" sheetId="5" r:id="rId5"/>
    <sheet name="Sheet3" sheetId="9" r:id="rId6"/>
    <sheet name="LULC Chart" sheetId="7" r:id="rId7"/>
    <sheet name="Change Over Time" sheetId="8" r:id="rId8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</calcChain>
</file>

<file path=xl/sharedStrings.xml><?xml version="1.0" encoding="utf-8"?>
<sst xmlns="http://schemas.openxmlformats.org/spreadsheetml/2006/main" count="253" uniqueCount="71">
  <si>
    <t>FID</t>
  </si>
  <si>
    <t>Shape *</t>
  </si>
  <si>
    <t>FID_Raster</t>
  </si>
  <si>
    <t>Shape_Leng</t>
  </si>
  <si>
    <t>Shape_Area</t>
  </si>
  <si>
    <t>Classes</t>
  </si>
  <si>
    <t>LULC_1995</t>
  </si>
  <si>
    <t>Shape_Le_1</t>
  </si>
  <si>
    <t>Shape_Ar_1</t>
  </si>
  <si>
    <t>Classes_1</t>
  </si>
  <si>
    <t>Area_ha</t>
  </si>
  <si>
    <t>LULC_2015</t>
  </si>
  <si>
    <t>Area_Ha_</t>
  </si>
  <si>
    <t>LULC_2025</t>
  </si>
  <si>
    <t>ChangePath</t>
  </si>
  <si>
    <t>Area_Chang</t>
  </si>
  <si>
    <t>Polygon</t>
  </si>
  <si>
    <t>Water Body</t>
  </si>
  <si>
    <t>Human Settlement</t>
  </si>
  <si>
    <t>Marshy Land</t>
  </si>
  <si>
    <t>Marine Vegetation</t>
  </si>
  <si>
    <t>Light Forest</t>
  </si>
  <si>
    <t>Sandy Beach</t>
  </si>
  <si>
    <t>Marshy Lnd</t>
  </si>
  <si>
    <t>gridcode</t>
  </si>
  <si>
    <t>Shape_Length</t>
  </si>
  <si>
    <t>Shape</t>
  </si>
  <si>
    <t>OBJECTID</t>
  </si>
  <si>
    <t xml:space="preserve">OBJECTID </t>
  </si>
  <si>
    <t>OBJECTID *</t>
  </si>
  <si>
    <t>Annual Rate of Change</t>
  </si>
  <si>
    <t>Water Body &gt; Water Body</t>
  </si>
  <si>
    <t>Water Body &gt; Human Settlement</t>
  </si>
  <si>
    <t>Water Body &gt; Sandy Beach</t>
  </si>
  <si>
    <t>Water Body &gt; Marshy Land</t>
  </si>
  <si>
    <t>Water Body &gt; Marine Vegetation</t>
  </si>
  <si>
    <t>Water Body &gt; Light Forest</t>
  </si>
  <si>
    <t>Human Settlement &gt; Water Body</t>
  </si>
  <si>
    <t>Human Settlement &gt; Human Settlement</t>
  </si>
  <si>
    <t>Human Settlement &gt; Sandy Beach</t>
  </si>
  <si>
    <t>Human Settlement &gt; Marshy Land</t>
  </si>
  <si>
    <t>Human Settlement &gt; Marine Vegetation</t>
  </si>
  <si>
    <t>Human Settlement &gt; Light Forest</t>
  </si>
  <si>
    <t>Sandy Beach &gt; Water Body</t>
  </si>
  <si>
    <t>Sandy Beach &gt; Human Settlement</t>
  </si>
  <si>
    <t>Sandy Beach &gt; Sandy Beach</t>
  </si>
  <si>
    <t>Sandy Beach &gt; Marshy Land</t>
  </si>
  <si>
    <t>Sandy Beach &gt; Marine Vegetation</t>
  </si>
  <si>
    <t>Sandy Beach &gt; Light Forest</t>
  </si>
  <si>
    <t>Marshy Land &gt; Water Body</t>
  </si>
  <si>
    <t>Marshy Land &gt; Human Settlement</t>
  </si>
  <si>
    <t>Marshy Land &gt; Sandy Beach</t>
  </si>
  <si>
    <t>Marshy Land &gt; Marshy Land</t>
  </si>
  <si>
    <t>Marshy Land &gt; Marine Vegetation</t>
  </si>
  <si>
    <t>Marshy Land &gt; Light Forest</t>
  </si>
  <si>
    <t>Marine Vegetation &gt; Water Body</t>
  </si>
  <si>
    <t>Marine Vegetation &gt; Human Settlement</t>
  </si>
  <si>
    <t>Marine Vegetation &gt; Sandy Beach</t>
  </si>
  <si>
    <t>Marine Vegetation &gt; Marshy Land</t>
  </si>
  <si>
    <t>Marine Vegetation &gt; Marine Vegetation</t>
  </si>
  <si>
    <t>Marine Vegetation &gt; Light Forest</t>
  </si>
  <si>
    <t>Light Forest &gt; Water Body</t>
  </si>
  <si>
    <t>Light Forest &gt; Human Settlement</t>
  </si>
  <si>
    <t>Light Forest &gt; Sandy Beach</t>
  </si>
  <si>
    <t>Light Forest &gt; Marshy Land</t>
  </si>
  <si>
    <t>Light Forest &gt; Marine Vegetation</t>
  </si>
  <si>
    <t>Light Forest &gt; Light Forest</t>
  </si>
  <si>
    <t>1995 Area (ha)</t>
  </si>
  <si>
    <t>2015 Area (ha)</t>
  </si>
  <si>
    <t>2025 Area (ha)</t>
  </si>
  <si>
    <t>1995 Area_ha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</si>
</sst>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'LULC Chart'!$B$1</c:f>
              <c:strCache>
                <c:ptCount val="1"/>
                <c:pt idx="0">
                  <c:v>1995 Area (ha)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'LULC Chart'!$A$2:$A$7</c:f>
              <c:strCache>
                <c:ptCount val="6"/>
                <c:pt idx="0">
                  <c:v>Water Body</c:v>
                </c:pt>
                <c:pt idx="1">
                  <c:v>Human Settlement</c:v>
                </c:pt>
                <c:pt idx="2">
                  <c:v>Sandy Beach</c:v>
                </c:pt>
                <c:pt idx="3">
                  <c:v>Marshy Land</c:v>
                </c:pt>
                <c:pt idx="4">
                  <c:v>Marine Vegetation</c:v>
                </c:pt>
                <c:pt idx="5">
                  <c:v>Light Forest</c:v>
                </c:pt>
              </c:strCache>
            </c:strRef>
          </c:cat>
          <c:val>
            <c:numRef>
              <c:f>'LULC Chart'!$B$2:$B$7</c:f>
              <c:numCache>
                <c:formatCode>General</c:formatCode>
                <c:ptCount val="6"/>
                <c:pt idx="0">
                  <c:v>2517.8131530000001</c:v>
                </c:pt>
                <c:pt idx="1">
                  <c:v>13442.078011</c:v>
                </c:pt>
                <c:pt idx="2">
                  <c:v>660.85245099999997</c:v>
                </c:pt>
                <c:pt idx="3">
                  <c:v>19899.905599000002</c:v>
                </c:pt>
                <c:pt idx="4">
                  <c:v>61357.878535000003</c:v>
                </c:pt>
                <c:pt idx="5">
                  <c:v>44803.436454000002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E-488C-8AF7-8C2091C1E243}"/>
            </c:ext>
          </c:extLst>
        </c:ser>
        <c:ser>
          <c:idx val="1"/>
          <c:order val="1"/>
          <c:tx>
            <c:strRef>
              <c:f>'LULC Chart'!$C$1</c:f>
              <c:strCache>
                <c:ptCount val="1"/>
                <c:pt idx="0">
                  <c:v>2015 Area (ha)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'LULC Chart'!$A$2:$A$7</c:f>
              <c:strCache>
                <c:ptCount val="6"/>
                <c:pt idx="0">
                  <c:v>Water Body</c:v>
                </c:pt>
                <c:pt idx="1">
                  <c:v>Human Settlement</c:v>
                </c:pt>
                <c:pt idx="2">
                  <c:v>Sandy Beach</c:v>
                </c:pt>
                <c:pt idx="3">
                  <c:v>Marshy Land</c:v>
                </c:pt>
                <c:pt idx="4">
                  <c:v>Marine Vegetation</c:v>
                </c:pt>
                <c:pt idx="5">
                  <c:v>Light Forest</c:v>
                </c:pt>
              </c:strCache>
            </c:strRef>
          </c:cat>
          <c:val>
            <c:numRef>
              <c:f>'LULC Chart'!$C$2:$C$7</c:f>
              <c:numCache>
                <c:formatCode>General</c:formatCode>
                <c:ptCount val="6"/>
                <c:pt idx="0">
                  <c:v>2743.9275980000002</c:v>
                </c:pt>
                <c:pt idx="1">
                  <c:v>21757.208372000001</c:v>
                </c:pt>
                <c:pt idx="2">
                  <c:v>7585.5092189999996</c:v>
                </c:pt>
                <c:pt idx="3">
                  <c:v>38538.126638000002</c:v>
                </c:pt>
                <c:pt idx="4">
                  <c:v>33522.045358000003</c:v>
                </c:pt>
                <c:pt idx="5">
                  <c:v>42511.168431999999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EE-488C-8AF7-8C2091C1E243}"/>
            </c:ext>
          </c:extLst>
        </c:ser>
        <c:ser>
          <c:idx val="2"/>
          <c:order val="2"/>
          <c:tx>
            <c:strRef>
              <c:f>'LULC Chart'!$D$1</c:f>
              <c:strCache>
                <c:ptCount val="1"/>
                <c:pt idx="0">
                  <c:v>2025 Area (ha)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'LULC Chart'!$A$2:$A$7</c:f>
              <c:strCache>
                <c:ptCount val="6"/>
                <c:pt idx="0">
                  <c:v>Water Body</c:v>
                </c:pt>
                <c:pt idx="1">
                  <c:v>Human Settlement</c:v>
                </c:pt>
                <c:pt idx="2">
                  <c:v>Sandy Beach</c:v>
                </c:pt>
                <c:pt idx="3">
                  <c:v>Marshy Land</c:v>
                </c:pt>
                <c:pt idx="4">
                  <c:v>Marine Vegetation</c:v>
                </c:pt>
                <c:pt idx="5">
                  <c:v>Light Forest</c:v>
                </c:pt>
              </c:strCache>
            </c:strRef>
          </c:cat>
          <c:val>
            <c:numRef>
              <c:f>'LULC Chart'!$D$2:$D$7</c:f>
              <c:numCache>
                <c:formatCode>General</c:formatCode>
                <c:ptCount val="6"/>
                <c:pt idx="0">
                  <c:v>9090.6961420000007</c:v>
                </c:pt>
                <c:pt idx="1">
                  <c:v>19886.99684</c:v>
                </c:pt>
                <c:pt idx="2">
                  <c:v>3134.8667770000002</c:v>
                </c:pt>
                <c:pt idx="3">
                  <c:v>16108.602857</c:v>
                </c:pt>
                <c:pt idx="4">
                  <c:v>44995.901962999997</c:v>
                </c:pt>
                <c:pt idx="5">
                  <c:v>53447.848651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EE-488C-8AF7-8C2091C1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81478768"/>
        <c:axId val="1881482096"/>
      </c:barChart>
      <c:catAx>
        <c:axId val="188147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class names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82096"/>
        <c:crosses val="autoZero"/>
        <c:auto val="1"/>
        <c:lblAlgn val="ctr"/>
        <c:lblOffset val="100"/>
        <c:noMultiLvlLbl val="0"/>
      </c:catAx>
      <c:valAx>
        <c:axId val="18814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Area per Hectares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7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451704725502373"/>
          <c:y val="0.90032628274406878"/>
          <c:w val="0.66553978738995356"/>
          <c:h val="7.3529926406258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'Change Over Time'!$B$1</c:f>
              <c:strCache>
                <c:ptCount val="1"/>
                <c:pt idx="0">
                  <c:v>Water Body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'Change Over 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 Time'!$B$2:$B$4</c:f>
              <c:numCache>
                <c:formatCode>General</c:formatCode>
                <c:ptCount val="3"/>
                <c:pt idx="0">
                  <c:v>2517.8131530000001</c:v>
                </c:pt>
                <c:pt idx="1">
                  <c:v>2743.9275980000002</c:v>
                </c:pt>
                <c:pt idx="2">
                  <c:v>9090.6961420000007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E-4739-8BC9-1F03C25B6DE5}"/>
            </c:ext>
          </c:extLst>
        </c:ser>
        <c:ser>
          <c:idx val="1"/>
          <c:order val="1"/>
          <c:tx>
            <c:strRef>
              <c:f>'Change Over Time'!$C$1</c:f>
              <c:strCache>
                <c:ptCount val="1"/>
                <c:pt idx="0">
                  <c:v>Human Settlement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'Change Over 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 Time'!$C$2:$C$4</c:f>
              <c:numCache>
                <c:formatCode>General</c:formatCode>
                <c:ptCount val="3"/>
                <c:pt idx="0">
                  <c:v>13442.078011</c:v>
                </c:pt>
                <c:pt idx="1">
                  <c:v>21757.208372000001</c:v>
                </c:pt>
                <c:pt idx="2">
                  <c:v>19886.99684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9E-4739-8BC9-1F03C25B6DE5}"/>
            </c:ext>
          </c:extLst>
        </c:ser>
        <c:ser>
          <c:idx val="2"/>
          <c:order val="2"/>
          <c:tx>
            <c:strRef>
              <c:f>'Change Over Time'!$D$1</c:f>
              <c:strCache>
                <c:ptCount val="1"/>
                <c:pt idx="0">
                  <c:v>Sandy Beach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'Change Over 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 Time'!$D$2:$D$4</c:f>
              <c:numCache>
                <c:formatCode>General</c:formatCode>
                <c:ptCount val="3"/>
                <c:pt idx="0">
                  <c:v>660.85245099999997</c:v>
                </c:pt>
                <c:pt idx="1">
                  <c:v>7585.5092189999996</c:v>
                </c:pt>
                <c:pt idx="2">
                  <c:v>3134.8667770000002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9E-4739-8BC9-1F03C25B6DE5}"/>
            </c:ext>
          </c:extLst>
        </c:ser>
        <c:ser>
          <c:idx val="3"/>
          <c:order val="3"/>
          <c:tx>
            <c:strRef>
              <c:f>'Change Over Time'!$E$1</c:f>
              <c:strCache>
                <c:ptCount val="1"/>
                <c:pt idx="0">
                  <c:v>Marshy 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'Change Over 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 Time'!$E$2:$E$4</c:f>
              <c:numCache>
                <c:formatCode>General</c:formatCode>
                <c:ptCount val="3"/>
                <c:pt idx="0">
                  <c:v>19899.905599000002</c:v>
                </c:pt>
                <c:pt idx="1">
                  <c:v>38538.126638000002</c:v>
                </c:pt>
                <c:pt idx="2">
                  <c:v>16108.602857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9E-4739-8BC9-1F03C25B6DE5}"/>
            </c:ext>
          </c:extLst>
        </c:ser>
        <c:ser>
          <c:idx val="4"/>
          <c:order val="4"/>
          <c:tx>
            <c:strRef>
              <c:f>'Change Over Time'!$F$1</c:f>
              <c:strCache>
                <c:ptCount val="1"/>
                <c:pt idx="0">
                  <c:v>Marine Vegetation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'Change Over 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 Time'!$F$2:$F$4</c:f>
              <c:numCache>
                <c:formatCode>General</c:formatCode>
                <c:ptCount val="3"/>
                <c:pt idx="0">
                  <c:v>61357.878535000003</c:v>
                </c:pt>
                <c:pt idx="1">
                  <c:v>33522.045358000003</c:v>
                </c:pt>
                <c:pt idx="2">
                  <c:v>44995.901962999997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9E-4739-8BC9-1F03C25B6DE5}"/>
            </c:ext>
          </c:extLst>
        </c:ser>
        <c:ser>
          <c:idx val="5"/>
          <c:order val="5"/>
          <c:tx>
            <c:strRef>
              <c:f>'Change Over Time'!$G$1</c:f>
              <c:strCache>
                <c:ptCount val="1"/>
                <c:pt idx="0">
                  <c:v>Light Forest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'Change Over Time'!$A$2:$A$4</c:f>
              <c:numCache>
                <c:formatCode>General</c:formatCode>
                <c:ptCount val="3"/>
                <c:pt idx="0">
                  <c:v>1995</c:v>
                </c:pt>
                <c:pt idx="1">
                  <c:v>2015</c:v>
                </c:pt>
                <c:pt idx="2">
                  <c:v>2025</c:v>
                </c:pt>
              </c:numCache>
            </c:numRef>
          </c:cat>
          <c:val>
            <c:numRef>
              <c:f>'Change Over Time'!$G$2:$G$4</c:f>
              <c:numCache>
                <c:formatCode>General</c:formatCode>
                <c:ptCount val="3"/>
                <c:pt idx="0">
                  <c:v>44803.436454000002</c:v>
                </c:pt>
                <c:pt idx="1">
                  <c:v>42511.168431999999</c:v>
                </c:pt>
                <c:pt idx="2">
                  <c:v>53447.848651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9E-4739-8BC9-1F03C25B6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067504"/>
        <c:axId val="1918074992"/>
      </c:lineChart>
      <c:catAx>
        <c:axId val="191806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074992"/>
        <c:crosses val="autoZero"/>
        <c:auto val="1"/>
        <c:lblAlgn val="ctr"/>
        <c:lblOffset val="100"/>
        <c:noMultiLvlLbl val="0"/>
      </c:catAx>
      <c:valAx>
        <c:axId val="191807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06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414336</xdr:colOff>
      <xdr:row>11</xdr:row>
      <xdr:rowOff>180975</xdr:rowOff>
    </xdr:from>
    <xdr:to>
      <xdr:col>3</xdr:col>
      <xdr:colOff>1838325</xdr:colOff>
      <xdr:row>27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1643062</xdr:colOff>
      <xdr:row>11</xdr:row>
      <xdr:rowOff>104775</xdr:rowOff>
    </xdr:from>
    <xdr:to>
      <xdr:col>3</xdr:col>
      <xdr:colOff>890587</xdr:colOff>
      <xdr:row>25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selection activeCell="H12" sqref="H12"/>
    </sheetView>
  </sheetViews>
  <sheetFormatPr defaultRowHeight="15" x14ac:dyDescent="0.25"/>
  <cols>
    <col min="1" max="1" width="17.5703125" customWidth="1"/>
    <col min="2" max="3" width="11.85546875" customWidth="1"/>
    <col min="4" max="4" width="18.85546875" customWidth="1"/>
    <col min="5" max="5" width="24" customWidth="1"/>
    <col min="6" max="6" width="21.42578125" customWidth="1"/>
    <col min="7" max="7" width="15" customWidth="1"/>
    <col min="8" max="8" width="16.7109375" customWidth="1"/>
    <col min="9" max="9" width="15.28515625" customWidth="1"/>
    <col min="10" max="10" width="17" customWidth="1"/>
    <col min="11" max="11" width="24.28515625" customWidth="1"/>
    <col min="12" max="12" width="18.7109375" customWidth="1"/>
    <col min="13" max="13" width="16.140625" customWidth="1"/>
    <col min="14" max="14" width="52" customWidth="1"/>
    <col min="15" max="15" width="18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5">
      <c r="A2">
        <v>0</v>
      </c>
      <c r="B2" t="s">
        <v>16</v>
      </c>
      <c r="C2">
        <v>1</v>
      </c>
      <c r="D2">
        <v>1487831.82381</v>
      </c>
      <c r="E2">
        <v>25178131.532000002</v>
      </c>
      <c r="F2" t="s">
        <v>17</v>
      </c>
      <c r="G2">
        <v>1</v>
      </c>
      <c r="H2">
        <v>2517.8131530000001</v>
      </c>
      <c r="I2">
        <v>4108402.08323</v>
      </c>
      <c r="J2">
        <v>90906961.424600005</v>
      </c>
      <c r="K2" t="s">
        <v>17</v>
      </c>
      <c r="L2">
        <v>9090.6961420000007</v>
      </c>
      <c r="M2">
        <v>1</v>
      </c>
      <c r="N2" t="s">
        <v>31</v>
      </c>
      <c r="O2">
        <v>1250.5440759999999</v>
      </c>
    </row>
    <row r="3" spans="1:15" x14ac:dyDescent="0.25">
      <c r="A3">
        <v>1</v>
      </c>
      <c r="B3" t="s">
        <v>16</v>
      </c>
      <c r="C3">
        <v>1</v>
      </c>
      <c r="D3">
        <v>1487831.82381</v>
      </c>
      <c r="E3">
        <v>25178131.532000002</v>
      </c>
      <c r="F3" t="s">
        <v>17</v>
      </c>
      <c r="G3">
        <v>1</v>
      </c>
      <c r="H3">
        <v>2517.8131530000001</v>
      </c>
      <c r="I3">
        <v>7063874.5885899998</v>
      </c>
      <c r="J3">
        <v>198869968.40200001</v>
      </c>
      <c r="K3" t="s">
        <v>18</v>
      </c>
      <c r="L3">
        <v>19886.99684</v>
      </c>
      <c r="M3">
        <v>2</v>
      </c>
      <c r="N3" t="s">
        <v>32</v>
      </c>
      <c r="O3">
        <v>66.699788999999996</v>
      </c>
    </row>
    <row r="4" spans="1:15" x14ac:dyDescent="0.25">
      <c r="A4">
        <v>2</v>
      </c>
      <c r="B4" t="s">
        <v>16</v>
      </c>
      <c r="C4">
        <v>1</v>
      </c>
      <c r="D4">
        <v>1487831.82381</v>
      </c>
      <c r="E4">
        <v>25178131.532000002</v>
      </c>
      <c r="F4" t="s">
        <v>17</v>
      </c>
      <c r="G4">
        <v>1</v>
      </c>
      <c r="H4">
        <v>2517.8131530000001</v>
      </c>
      <c r="I4">
        <v>1203175.6950999999</v>
      </c>
      <c r="J4">
        <v>31348667.766800001</v>
      </c>
      <c r="K4" t="s">
        <v>22</v>
      </c>
      <c r="L4">
        <v>3134.8667770000002</v>
      </c>
      <c r="M4">
        <v>3</v>
      </c>
      <c r="N4" t="s">
        <v>33</v>
      </c>
      <c r="O4">
        <v>0.76096200000000003</v>
      </c>
    </row>
    <row r="5" spans="1:15" x14ac:dyDescent="0.25">
      <c r="A5">
        <v>3</v>
      </c>
      <c r="B5" t="s">
        <v>16</v>
      </c>
      <c r="C5">
        <v>1</v>
      </c>
      <c r="D5">
        <v>1487831.82381</v>
      </c>
      <c r="E5">
        <v>25178131.532000002</v>
      </c>
      <c r="F5" t="s">
        <v>17</v>
      </c>
      <c r="G5">
        <v>1</v>
      </c>
      <c r="H5">
        <v>2517.8131530000001</v>
      </c>
      <c r="I5">
        <v>2313408.6579800001</v>
      </c>
      <c r="J5">
        <v>161086028.57300001</v>
      </c>
      <c r="K5" t="s">
        <v>19</v>
      </c>
      <c r="L5">
        <v>16108.602857</v>
      </c>
      <c r="M5">
        <v>4</v>
      </c>
      <c r="N5" t="s">
        <v>34</v>
      </c>
      <c r="O5">
        <v>111.038456</v>
      </c>
    </row>
    <row r="6" spans="1:15" x14ac:dyDescent="0.25">
      <c r="A6">
        <v>4</v>
      </c>
      <c r="B6" t="s">
        <v>16</v>
      </c>
      <c r="C6">
        <v>1</v>
      </c>
      <c r="D6">
        <v>1487831.82381</v>
      </c>
      <c r="E6">
        <v>25178131.532000002</v>
      </c>
      <c r="F6" t="s">
        <v>17</v>
      </c>
      <c r="G6">
        <v>1</v>
      </c>
      <c r="H6">
        <v>2517.8131530000001</v>
      </c>
      <c r="I6">
        <v>9341107.8115400001</v>
      </c>
      <c r="J6">
        <v>449959019.62800002</v>
      </c>
      <c r="K6" t="s">
        <v>20</v>
      </c>
      <c r="L6">
        <v>44995.901962999997</v>
      </c>
      <c r="M6">
        <v>5</v>
      </c>
      <c r="N6" t="s">
        <v>35</v>
      </c>
      <c r="O6">
        <v>366.512924</v>
      </c>
    </row>
    <row r="7" spans="1:15" x14ac:dyDescent="0.25">
      <c r="A7">
        <v>5</v>
      </c>
      <c r="B7" t="s">
        <v>16</v>
      </c>
      <c r="C7">
        <v>1</v>
      </c>
      <c r="D7">
        <v>1487831.82381</v>
      </c>
      <c r="E7">
        <v>25178131.532000002</v>
      </c>
      <c r="F7" t="s">
        <v>17</v>
      </c>
      <c r="G7">
        <v>1</v>
      </c>
      <c r="H7">
        <v>2517.8131530000001</v>
      </c>
      <c r="I7">
        <v>5022035.3468800001</v>
      </c>
      <c r="J7">
        <v>534478486.514</v>
      </c>
      <c r="K7" t="s">
        <v>21</v>
      </c>
      <c r="L7">
        <v>53447.848651</v>
      </c>
      <c r="M7">
        <v>6</v>
      </c>
      <c r="N7" t="s">
        <v>36</v>
      </c>
      <c r="O7">
        <v>683.42702799999995</v>
      </c>
    </row>
    <row r="8" spans="1:15" x14ac:dyDescent="0.25">
      <c r="A8">
        <v>6</v>
      </c>
      <c r="B8" t="s">
        <v>16</v>
      </c>
      <c r="C8">
        <v>2</v>
      </c>
      <c r="D8">
        <v>4284552.3188500004</v>
      </c>
      <c r="E8">
        <v>134420780.11000001</v>
      </c>
      <c r="F8" t="s">
        <v>18</v>
      </c>
      <c r="G8">
        <v>2</v>
      </c>
      <c r="H8">
        <v>13442.078011</v>
      </c>
      <c r="I8">
        <v>4108402.08323</v>
      </c>
      <c r="J8">
        <v>90906961.424600005</v>
      </c>
      <c r="K8" t="s">
        <v>17</v>
      </c>
      <c r="L8">
        <v>9090.6961420000007</v>
      </c>
      <c r="M8">
        <v>1</v>
      </c>
      <c r="N8" t="s">
        <v>37</v>
      </c>
      <c r="O8">
        <v>608.14738499999999</v>
      </c>
    </row>
    <row r="9" spans="1:15" x14ac:dyDescent="0.25">
      <c r="A9">
        <v>7</v>
      </c>
      <c r="B9" t="s">
        <v>16</v>
      </c>
      <c r="C9">
        <v>2</v>
      </c>
      <c r="D9">
        <v>4284552.3188500004</v>
      </c>
      <c r="E9">
        <v>134420780.11000001</v>
      </c>
      <c r="F9" t="s">
        <v>18</v>
      </c>
      <c r="G9">
        <v>2</v>
      </c>
      <c r="H9">
        <v>13442.078011</v>
      </c>
      <c r="I9">
        <v>7063874.5885899998</v>
      </c>
      <c r="J9">
        <v>198869968.40200001</v>
      </c>
      <c r="K9" t="s">
        <v>18</v>
      </c>
      <c r="L9">
        <v>19886.99684</v>
      </c>
      <c r="M9">
        <v>2</v>
      </c>
      <c r="N9" t="s">
        <v>38</v>
      </c>
      <c r="O9">
        <v>5348.5222489999996</v>
      </c>
    </row>
    <row r="10" spans="1:15" x14ac:dyDescent="0.25">
      <c r="A10">
        <v>8</v>
      </c>
      <c r="B10" t="s">
        <v>16</v>
      </c>
      <c r="C10">
        <v>2</v>
      </c>
      <c r="D10">
        <v>4284552.3188500004</v>
      </c>
      <c r="E10">
        <v>134420780.11000001</v>
      </c>
      <c r="F10" t="s">
        <v>18</v>
      </c>
      <c r="G10">
        <v>2</v>
      </c>
      <c r="H10">
        <v>13442.078011</v>
      </c>
      <c r="I10">
        <v>1203175.6950999999</v>
      </c>
      <c r="J10">
        <v>31348667.766800001</v>
      </c>
      <c r="K10" t="s">
        <v>22</v>
      </c>
      <c r="L10">
        <v>3134.8667770000002</v>
      </c>
      <c r="M10">
        <v>3</v>
      </c>
      <c r="N10" t="s">
        <v>39</v>
      </c>
      <c r="O10">
        <v>1187.9286830000001</v>
      </c>
    </row>
    <row r="11" spans="1:15" x14ac:dyDescent="0.25">
      <c r="A11">
        <v>9</v>
      </c>
      <c r="B11" t="s">
        <v>16</v>
      </c>
      <c r="C11">
        <v>2</v>
      </c>
      <c r="D11">
        <v>4284552.3188500004</v>
      </c>
      <c r="E11">
        <v>134420780.11000001</v>
      </c>
      <c r="F11" t="s">
        <v>18</v>
      </c>
      <c r="G11">
        <v>2</v>
      </c>
      <c r="H11">
        <v>13442.078011</v>
      </c>
      <c r="I11">
        <v>2313408.6579800001</v>
      </c>
      <c r="J11">
        <v>161086028.57300001</v>
      </c>
      <c r="K11" t="s">
        <v>19</v>
      </c>
      <c r="L11">
        <v>16108.602857</v>
      </c>
      <c r="M11">
        <v>4</v>
      </c>
      <c r="N11" t="s">
        <v>40</v>
      </c>
      <c r="O11">
        <v>2631.7854750000001</v>
      </c>
    </row>
    <row r="12" spans="1:15" x14ac:dyDescent="0.25">
      <c r="A12">
        <v>10</v>
      </c>
      <c r="B12" t="s">
        <v>16</v>
      </c>
      <c r="C12">
        <v>2</v>
      </c>
      <c r="D12">
        <v>4284552.3188500004</v>
      </c>
      <c r="E12">
        <v>134420780.11000001</v>
      </c>
      <c r="F12" t="s">
        <v>18</v>
      </c>
      <c r="G12">
        <v>2</v>
      </c>
      <c r="H12">
        <v>13442.078011</v>
      </c>
      <c r="I12">
        <v>9341107.8115400001</v>
      </c>
      <c r="J12">
        <v>449959019.62800002</v>
      </c>
      <c r="K12" t="s">
        <v>20</v>
      </c>
      <c r="L12">
        <v>44995.901962999997</v>
      </c>
      <c r="M12">
        <v>5</v>
      </c>
      <c r="N12" t="s">
        <v>41</v>
      </c>
      <c r="O12">
        <v>2561.5126100000002</v>
      </c>
    </row>
    <row r="13" spans="1:15" x14ac:dyDescent="0.25">
      <c r="A13">
        <v>11</v>
      </c>
      <c r="B13" t="s">
        <v>16</v>
      </c>
      <c r="C13">
        <v>2</v>
      </c>
      <c r="D13">
        <v>4284552.3188500004</v>
      </c>
      <c r="E13">
        <v>134420780.11000001</v>
      </c>
      <c r="F13" t="s">
        <v>18</v>
      </c>
      <c r="G13">
        <v>2</v>
      </c>
      <c r="H13">
        <v>13442.078011</v>
      </c>
      <c r="I13">
        <v>5022035.3468800001</v>
      </c>
      <c r="J13">
        <v>534478486.514</v>
      </c>
      <c r="K13" t="s">
        <v>21</v>
      </c>
      <c r="L13">
        <v>53447.848651</v>
      </c>
      <c r="M13">
        <v>6</v>
      </c>
      <c r="N13" t="s">
        <v>42</v>
      </c>
      <c r="O13">
        <v>948.08361600000001</v>
      </c>
    </row>
    <row r="14" spans="1:15" x14ac:dyDescent="0.25">
      <c r="A14">
        <v>12</v>
      </c>
      <c r="B14" t="s">
        <v>16</v>
      </c>
      <c r="C14">
        <v>3</v>
      </c>
      <c r="D14">
        <v>337501.17996799998</v>
      </c>
      <c r="E14">
        <v>6608524.51229</v>
      </c>
      <c r="F14" t="s">
        <v>22</v>
      </c>
      <c r="G14">
        <v>3</v>
      </c>
      <c r="H14">
        <v>660.85245099999997</v>
      </c>
      <c r="I14">
        <v>4108402.08323</v>
      </c>
      <c r="J14">
        <v>90906961.424600005</v>
      </c>
      <c r="K14" t="s">
        <v>17</v>
      </c>
      <c r="L14">
        <v>9090.6961420000007</v>
      </c>
      <c r="M14">
        <v>1</v>
      </c>
      <c r="N14" t="s">
        <v>43</v>
      </c>
      <c r="O14">
        <v>12.740769999999999</v>
      </c>
    </row>
    <row r="15" spans="1:15" x14ac:dyDescent="0.25">
      <c r="A15">
        <v>13</v>
      </c>
      <c r="B15" t="s">
        <v>16</v>
      </c>
      <c r="C15">
        <v>3</v>
      </c>
      <c r="D15">
        <v>337501.17996799998</v>
      </c>
      <c r="E15">
        <v>6608524.51229</v>
      </c>
      <c r="F15" t="s">
        <v>22</v>
      </c>
      <c r="G15">
        <v>3</v>
      </c>
      <c r="H15">
        <v>660.85245099999997</v>
      </c>
      <c r="I15">
        <v>7063874.5885899998</v>
      </c>
      <c r="J15">
        <v>198869968.40200001</v>
      </c>
      <c r="K15" t="s">
        <v>18</v>
      </c>
      <c r="L15">
        <v>19886.99684</v>
      </c>
      <c r="M15">
        <v>2</v>
      </c>
      <c r="N15" t="s">
        <v>44</v>
      </c>
      <c r="O15">
        <v>415.76539500000001</v>
      </c>
    </row>
    <row r="16" spans="1:15" x14ac:dyDescent="0.25">
      <c r="A16">
        <v>14</v>
      </c>
      <c r="B16" t="s">
        <v>16</v>
      </c>
      <c r="C16">
        <v>3</v>
      </c>
      <c r="D16">
        <v>337501.17996799998</v>
      </c>
      <c r="E16">
        <v>6608524.51229</v>
      </c>
      <c r="F16" t="s">
        <v>22</v>
      </c>
      <c r="G16">
        <v>3</v>
      </c>
      <c r="H16">
        <v>660.85245099999997</v>
      </c>
      <c r="I16">
        <v>1203175.6950999999</v>
      </c>
      <c r="J16">
        <v>31348667.766800001</v>
      </c>
      <c r="K16" t="s">
        <v>22</v>
      </c>
      <c r="L16">
        <v>3134.8667770000002</v>
      </c>
      <c r="M16">
        <v>3</v>
      </c>
      <c r="N16" t="s">
        <v>45</v>
      </c>
      <c r="O16">
        <v>127.842198</v>
      </c>
    </row>
    <row r="17" spans="1:15" x14ac:dyDescent="0.25">
      <c r="A17">
        <v>15</v>
      </c>
      <c r="B17" t="s">
        <v>16</v>
      </c>
      <c r="C17">
        <v>3</v>
      </c>
      <c r="D17">
        <v>337501.17996799998</v>
      </c>
      <c r="E17">
        <v>6608524.51229</v>
      </c>
      <c r="F17" t="s">
        <v>22</v>
      </c>
      <c r="G17">
        <v>3</v>
      </c>
      <c r="H17">
        <v>660.85245099999997</v>
      </c>
      <c r="I17">
        <v>2313408.6579800001</v>
      </c>
      <c r="J17">
        <v>161086028.57300001</v>
      </c>
      <c r="K17" t="s">
        <v>19</v>
      </c>
      <c r="L17">
        <v>16108.602857</v>
      </c>
      <c r="M17">
        <v>4</v>
      </c>
      <c r="N17" t="s">
        <v>46</v>
      </c>
      <c r="O17">
        <v>14.024378</v>
      </c>
    </row>
    <row r="18" spans="1:15" x14ac:dyDescent="0.25">
      <c r="A18">
        <v>16</v>
      </c>
      <c r="B18" t="s">
        <v>16</v>
      </c>
      <c r="C18">
        <v>3</v>
      </c>
      <c r="D18">
        <v>337501.17996799998</v>
      </c>
      <c r="E18">
        <v>6608524.51229</v>
      </c>
      <c r="F18" t="s">
        <v>22</v>
      </c>
      <c r="G18">
        <v>3</v>
      </c>
      <c r="H18">
        <v>660.85245099999997</v>
      </c>
      <c r="I18">
        <v>9341107.8115400001</v>
      </c>
      <c r="J18">
        <v>449959019.62800002</v>
      </c>
      <c r="K18" t="s">
        <v>20</v>
      </c>
      <c r="L18">
        <v>44995.901962999997</v>
      </c>
      <c r="M18">
        <v>5</v>
      </c>
      <c r="N18" t="s">
        <v>47</v>
      </c>
      <c r="O18">
        <v>35.188879999999997</v>
      </c>
    </row>
    <row r="19" spans="1:15" x14ac:dyDescent="0.25">
      <c r="A19">
        <v>17</v>
      </c>
      <c r="B19" t="s">
        <v>16</v>
      </c>
      <c r="C19">
        <v>3</v>
      </c>
      <c r="D19">
        <v>337501.17996799998</v>
      </c>
      <c r="E19">
        <v>6608524.51229</v>
      </c>
      <c r="F19" t="s">
        <v>22</v>
      </c>
      <c r="G19">
        <v>3</v>
      </c>
      <c r="H19">
        <v>660.85245099999997</v>
      </c>
      <c r="I19">
        <v>5022035.3468800001</v>
      </c>
      <c r="J19">
        <v>534478486.514</v>
      </c>
      <c r="K19" t="s">
        <v>21</v>
      </c>
      <c r="L19">
        <v>53447.848651</v>
      </c>
      <c r="M19">
        <v>6</v>
      </c>
      <c r="N19" t="s">
        <v>48</v>
      </c>
      <c r="O19">
        <v>1.3412230000000001</v>
      </c>
    </row>
    <row r="20" spans="1:15" x14ac:dyDescent="0.25">
      <c r="A20">
        <v>18</v>
      </c>
      <c r="B20" t="s">
        <v>16</v>
      </c>
      <c r="C20">
        <v>4</v>
      </c>
      <c r="D20">
        <v>14280031.301200001</v>
      </c>
      <c r="E20">
        <v>198999055.98800001</v>
      </c>
      <c r="F20" t="s">
        <v>19</v>
      </c>
      <c r="G20">
        <v>4</v>
      </c>
      <c r="H20">
        <v>19899.905599000002</v>
      </c>
      <c r="I20">
        <v>4108402.08323</v>
      </c>
      <c r="J20">
        <v>90906961.424600005</v>
      </c>
      <c r="K20" t="s">
        <v>17</v>
      </c>
      <c r="L20">
        <v>9090.6961420000007</v>
      </c>
      <c r="M20">
        <v>1</v>
      </c>
      <c r="N20" t="s">
        <v>49</v>
      </c>
      <c r="O20">
        <v>1178.536568</v>
      </c>
    </row>
    <row r="21" spans="1:15" x14ac:dyDescent="0.25">
      <c r="A21">
        <v>19</v>
      </c>
      <c r="B21" t="s">
        <v>16</v>
      </c>
      <c r="C21">
        <v>4</v>
      </c>
      <c r="D21">
        <v>14280031.301200001</v>
      </c>
      <c r="E21">
        <v>198999055.98800001</v>
      </c>
      <c r="F21" t="s">
        <v>19</v>
      </c>
      <c r="G21">
        <v>4</v>
      </c>
      <c r="H21">
        <v>19899.905599000002</v>
      </c>
      <c r="I21">
        <v>7063874.5885899998</v>
      </c>
      <c r="J21">
        <v>198869968.40200001</v>
      </c>
      <c r="K21" t="s">
        <v>18</v>
      </c>
      <c r="L21">
        <v>19886.99684</v>
      </c>
      <c r="M21">
        <v>2</v>
      </c>
      <c r="N21" t="s">
        <v>50</v>
      </c>
      <c r="O21">
        <v>2572.1512160000002</v>
      </c>
    </row>
    <row r="22" spans="1:15" x14ac:dyDescent="0.25">
      <c r="A22">
        <v>20</v>
      </c>
      <c r="B22" t="s">
        <v>16</v>
      </c>
      <c r="C22">
        <v>4</v>
      </c>
      <c r="D22">
        <v>14280031.301200001</v>
      </c>
      <c r="E22">
        <v>198999055.98800001</v>
      </c>
      <c r="F22" t="s">
        <v>19</v>
      </c>
      <c r="G22">
        <v>4</v>
      </c>
      <c r="H22">
        <v>19899.905599000002</v>
      </c>
      <c r="I22">
        <v>1203175.6950999999</v>
      </c>
      <c r="J22">
        <v>31348667.766800001</v>
      </c>
      <c r="K22" t="s">
        <v>22</v>
      </c>
      <c r="L22">
        <v>3134.8667770000002</v>
      </c>
      <c r="M22">
        <v>3</v>
      </c>
      <c r="N22" t="s">
        <v>51</v>
      </c>
      <c r="O22">
        <v>779.91851999999994</v>
      </c>
    </row>
    <row r="23" spans="1:15" x14ac:dyDescent="0.25">
      <c r="A23">
        <v>21</v>
      </c>
      <c r="B23" t="s">
        <v>16</v>
      </c>
      <c r="C23">
        <v>4</v>
      </c>
      <c r="D23">
        <v>14280031.301200001</v>
      </c>
      <c r="E23">
        <v>198999055.98800001</v>
      </c>
      <c r="F23" t="s">
        <v>19</v>
      </c>
      <c r="G23">
        <v>4</v>
      </c>
      <c r="H23">
        <v>19899.905599000002</v>
      </c>
      <c r="I23">
        <v>2313408.6579800001</v>
      </c>
      <c r="J23">
        <v>161086028.57300001</v>
      </c>
      <c r="K23" t="s">
        <v>19</v>
      </c>
      <c r="L23">
        <v>16108.602857</v>
      </c>
      <c r="M23">
        <v>4</v>
      </c>
      <c r="N23" t="s">
        <v>52</v>
      </c>
      <c r="O23">
        <v>5231.3810359999998</v>
      </c>
    </row>
    <row r="24" spans="1:15" x14ac:dyDescent="0.25">
      <c r="A24">
        <v>22</v>
      </c>
      <c r="B24" t="s">
        <v>16</v>
      </c>
      <c r="C24">
        <v>4</v>
      </c>
      <c r="D24">
        <v>14280031.301200001</v>
      </c>
      <c r="E24">
        <v>198999055.98800001</v>
      </c>
      <c r="F24" t="s">
        <v>19</v>
      </c>
      <c r="G24">
        <v>4</v>
      </c>
      <c r="H24">
        <v>19899.905599000002</v>
      </c>
      <c r="I24">
        <v>9341107.8115400001</v>
      </c>
      <c r="J24">
        <v>449959019.62800002</v>
      </c>
      <c r="K24" t="s">
        <v>20</v>
      </c>
      <c r="L24">
        <v>44995.901962999997</v>
      </c>
      <c r="M24">
        <v>5</v>
      </c>
      <c r="N24" t="s">
        <v>53</v>
      </c>
      <c r="O24">
        <v>5383.9190390000003</v>
      </c>
    </row>
    <row r="25" spans="1:15" x14ac:dyDescent="0.25">
      <c r="A25">
        <v>23</v>
      </c>
      <c r="B25" t="s">
        <v>16</v>
      </c>
      <c r="C25">
        <v>4</v>
      </c>
      <c r="D25">
        <v>14280031.301200001</v>
      </c>
      <c r="E25">
        <v>198999055.98800001</v>
      </c>
      <c r="F25" t="s">
        <v>19</v>
      </c>
      <c r="G25">
        <v>4</v>
      </c>
      <c r="H25">
        <v>19899.905599000002</v>
      </c>
      <c r="I25">
        <v>5022035.3468800001</v>
      </c>
      <c r="J25">
        <v>534478486.514</v>
      </c>
      <c r="K25" t="s">
        <v>21</v>
      </c>
      <c r="L25">
        <v>53447.848651</v>
      </c>
      <c r="M25">
        <v>6</v>
      </c>
      <c r="N25" t="s">
        <v>54</v>
      </c>
      <c r="O25">
        <v>4697.8594320000002</v>
      </c>
    </row>
    <row r="26" spans="1:15" x14ac:dyDescent="0.25">
      <c r="A26">
        <v>24</v>
      </c>
      <c r="B26" t="s">
        <v>16</v>
      </c>
      <c r="C26">
        <v>5</v>
      </c>
      <c r="D26">
        <v>18786646.698899999</v>
      </c>
      <c r="E26">
        <v>613578785.34899998</v>
      </c>
      <c r="F26" t="s">
        <v>20</v>
      </c>
      <c r="G26">
        <v>5</v>
      </c>
      <c r="H26">
        <v>61357.878535000003</v>
      </c>
      <c r="I26">
        <v>4108402.08323</v>
      </c>
      <c r="J26">
        <v>90906961.424600005</v>
      </c>
      <c r="K26" t="s">
        <v>17</v>
      </c>
      <c r="L26">
        <v>9090.6961420000007</v>
      </c>
      <c r="M26">
        <v>1</v>
      </c>
      <c r="N26" t="s">
        <v>55</v>
      </c>
      <c r="O26">
        <v>4319.6255879999999</v>
      </c>
    </row>
    <row r="27" spans="1:15" x14ac:dyDescent="0.25">
      <c r="A27">
        <v>25</v>
      </c>
      <c r="B27" t="s">
        <v>16</v>
      </c>
      <c r="C27">
        <v>5</v>
      </c>
      <c r="D27">
        <v>18786646.698899999</v>
      </c>
      <c r="E27">
        <v>613578785.34899998</v>
      </c>
      <c r="F27" t="s">
        <v>20</v>
      </c>
      <c r="G27">
        <v>5</v>
      </c>
      <c r="H27">
        <v>61357.878535000003</v>
      </c>
      <c r="I27">
        <v>7063874.5885899998</v>
      </c>
      <c r="J27">
        <v>198869968.40200001</v>
      </c>
      <c r="K27" t="s">
        <v>18</v>
      </c>
      <c r="L27">
        <v>19886.99684</v>
      </c>
      <c r="M27">
        <v>2</v>
      </c>
      <c r="N27" t="s">
        <v>56</v>
      </c>
      <c r="O27">
        <v>9027.9170770000001</v>
      </c>
    </row>
    <row r="28" spans="1:15" x14ac:dyDescent="0.25">
      <c r="A28">
        <v>26</v>
      </c>
      <c r="B28" t="s">
        <v>16</v>
      </c>
      <c r="C28">
        <v>5</v>
      </c>
      <c r="D28">
        <v>18786646.698899999</v>
      </c>
      <c r="E28">
        <v>613578785.34899998</v>
      </c>
      <c r="F28" t="s">
        <v>20</v>
      </c>
      <c r="G28">
        <v>5</v>
      </c>
      <c r="H28">
        <v>61357.878535000003</v>
      </c>
      <c r="I28">
        <v>1203175.6950999999</v>
      </c>
      <c r="J28">
        <v>31348667.766800001</v>
      </c>
      <c r="K28" t="s">
        <v>22</v>
      </c>
      <c r="L28">
        <v>3134.8667770000002</v>
      </c>
      <c r="M28">
        <v>3</v>
      </c>
      <c r="N28" t="s">
        <v>57</v>
      </c>
      <c r="O28">
        <v>784.42744500000003</v>
      </c>
    </row>
    <row r="29" spans="1:15" x14ac:dyDescent="0.25">
      <c r="A29">
        <v>27</v>
      </c>
      <c r="B29" t="s">
        <v>16</v>
      </c>
      <c r="C29">
        <v>5</v>
      </c>
      <c r="D29">
        <v>18786646.698899999</v>
      </c>
      <c r="E29">
        <v>613578785.34899998</v>
      </c>
      <c r="F29" t="s">
        <v>20</v>
      </c>
      <c r="G29">
        <v>5</v>
      </c>
      <c r="H29">
        <v>61357.878535000003</v>
      </c>
      <c r="I29">
        <v>2313408.6579800001</v>
      </c>
      <c r="J29">
        <v>161086028.57300001</v>
      </c>
      <c r="K29" t="s">
        <v>19</v>
      </c>
      <c r="L29">
        <v>16108.602857</v>
      </c>
      <c r="M29">
        <v>4</v>
      </c>
      <c r="N29" t="s">
        <v>58</v>
      </c>
      <c r="O29">
        <v>5644.0326830000004</v>
      </c>
    </row>
    <row r="30" spans="1:15" x14ac:dyDescent="0.25">
      <c r="A30">
        <v>28</v>
      </c>
      <c r="B30" t="s">
        <v>16</v>
      </c>
      <c r="C30">
        <v>5</v>
      </c>
      <c r="D30">
        <v>18786646.698899999</v>
      </c>
      <c r="E30">
        <v>613578785.34899998</v>
      </c>
      <c r="F30" t="s">
        <v>20</v>
      </c>
      <c r="G30">
        <v>5</v>
      </c>
      <c r="H30">
        <v>61357.878535000003</v>
      </c>
      <c r="I30">
        <v>9341107.8115400001</v>
      </c>
      <c r="J30">
        <v>449959019.62800002</v>
      </c>
      <c r="K30" t="s">
        <v>20</v>
      </c>
      <c r="L30">
        <v>44995.901962999997</v>
      </c>
      <c r="M30">
        <v>5</v>
      </c>
      <c r="N30" t="s">
        <v>59</v>
      </c>
      <c r="O30">
        <v>24045.624532999998</v>
      </c>
    </row>
    <row r="31" spans="1:15" x14ac:dyDescent="0.25">
      <c r="A31">
        <v>29</v>
      </c>
      <c r="B31" t="s">
        <v>16</v>
      </c>
      <c r="C31">
        <v>5</v>
      </c>
      <c r="D31">
        <v>18786646.698899999</v>
      </c>
      <c r="E31">
        <v>613578785.34899998</v>
      </c>
      <c r="F31" t="s">
        <v>20</v>
      </c>
      <c r="G31">
        <v>5</v>
      </c>
      <c r="H31">
        <v>61357.878535000003</v>
      </c>
      <c r="I31">
        <v>5022035.3468800001</v>
      </c>
      <c r="J31">
        <v>534478486.514</v>
      </c>
      <c r="K31" t="s">
        <v>21</v>
      </c>
      <c r="L31">
        <v>53447.848651</v>
      </c>
      <c r="M31">
        <v>6</v>
      </c>
      <c r="N31" t="s">
        <v>60</v>
      </c>
      <c r="O31">
        <v>17345.227766</v>
      </c>
    </row>
    <row r="32" spans="1:15" x14ac:dyDescent="0.25">
      <c r="A32">
        <v>30</v>
      </c>
      <c r="B32" t="s">
        <v>16</v>
      </c>
      <c r="C32">
        <v>6</v>
      </c>
      <c r="D32">
        <v>13441442.397700001</v>
      </c>
      <c r="E32">
        <v>448034364.53600001</v>
      </c>
      <c r="F32" t="s">
        <v>21</v>
      </c>
      <c r="G32">
        <v>6</v>
      </c>
      <c r="H32">
        <v>44803.436454000002</v>
      </c>
      <c r="I32">
        <v>4108402.08323</v>
      </c>
      <c r="J32">
        <v>90906961.424600005</v>
      </c>
      <c r="K32" t="s">
        <v>17</v>
      </c>
      <c r="L32">
        <v>9090.6961420000007</v>
      </c>
      <c r="M32">
        <v>1</v>
      </c>
      <c r="N32" t="s">
        <v>61</v>
      </c>
      <c r="O32">
        <v>1613.423869</v>
      </c>
    </row>
    <row r="33" spans="1:15" x14ac:dyDescent="0.25">
      <c r="A33">
        <v>31</v>
      </c>
      <c r="B33" t="s">
        <v>16</v>
      </c>
      <c r="C33">
        <v>6</v>
      </c>
      <c r="D33">
        <v>13441442.397700001</v>
      </c>
      <c r="E33">
        <v>448034364.53600001</v>
      </c>
      <c r="F33" t="s">
        <v>21</v>
      </c>
      <c r="G33">
        <v>6</v>
      </c>
      <c r="H33">
        <v>44803.436454000002</v>
      </c>
      <c r="I33">
        <v>7063874.5885899998</v>
      </c>
      <c r="J33">
        <v>198869968.40200001</v>
      </c>
      <c r="K33" t="s">
        <v>18</v>
      </c>
      <c r="L33">
        <v>19886.99684</v>
      </c>
      <c r="M33">
        <v>2</v>
      </c>
      <c r="N33" t="s">
        <v>62</v>
      </c>
      <c r="O33">
        <v>1712.486889</v>
      </c>
    </row>
    <row r="34" spans="1:15" x14ac:dyDescent="0.25">
      <c r="A34">
        <v>32</v>
      </c>
      <c r="B34" t="s">
        <v>16</v>
      </c>
      <c r="C34">
        <v>6</v>
      </c>
      <c r="D34">
        <v>13441442.397700001</v>
      </c>
      <c r="E34">
        <v>448034364.53600001</v>
      </c>
      <c r="F34" t="s">
        <v>21</v>
      </c>
      <c r="G34">
        <v>6</v>
      </c>
      <c r="H34">
        <v>44803.436454000002</v>
      </c>
      <c r="I34">
        <v>1203175.6950999999</v>
      </c>
      <c r="J34">
        <v>31348667.766800001</v>
      </c>
      <c r="K34" t="s">
        <v>22</v>
      </c>
      <c r="L34">
        <v>3134.8667770000002</v>
      </c>
      <c r="M34">
        <v>3</v>
      </c>
      <c r="N34" t="s">
        <v>63</v>
      </c>
      <c r="O34">
        <v>5.5644850000000003</v>
      </c>
    </row>
    <row r="35" spans="1:15" x14ac:dyDescent="0.25">
      <c r="A35">
        <v>33</v>
      </c>
      <c r="B35" t="s">
        <v>16</v>
      </c>
      <c r="C35">
        <v>6</v>
      </c>
      <c r="D35">
        <v>13441442.397700001</v>
      </c>
      <c r="E35">
        <v>448034364.53600001</v>
      </c>
      <c r="F35" t="s">
        <v>21</v>
      </c>
      <c r="G35">
        <v>6</v>
      </c>
      <c r="H35">
        <v>44803.436454000002</v>
      </c>
      <c r="I35">
        <v>2313408.6579800001</v>
      </c>
      <c r="J35">
        <v>161086028.57300001</v>
      </c>
      <c r="K35" t="s">
        <v>19</v>
      </c>
      <c r="L35">
        <v>16108.602857</v>
      </c>
      <c r="M35">
        <v>4</v>
      </c>
      <c r="N35" t="s">
        <v>64</v>
      </c>
      <c r="O35">
        <v>1884.978445</v>
      </c>
    </row>
    <row r="36" spans="1:15" x14ac:dyDescent="0.25">
      <c r="A36">
        <v>34</v>
      </c>
      <c r="B36" t="s">
        <v>16</v>
      </c>
      <c r="C36">
        <v>6</v>
      </c>
      <c r="D36">
        <v>13441442.397700001</v>
      </c>
      <c r="E36">
        <v>448034364.53600001</v>
      </c>
      <c r="F36" t="s">
        <v>21</v>
      </c>
      <c r="G36">
        <v>6</v>
      </c>
      <c r="H36">
        <v>44803.436454000002</v>
      </c>
      <c r="I36">
        <v>9341107.8115400001</v>
      </c>
      <c r="J36">
        <v>449959019.62800002</v>
      </c>
      <c r="K36" t="s">
        <v>20</v>
      </c>
      <c r="L36">
        <v>44995.901962999997</v>
      </c>
      <c r="M36">
        <v>5</v>
      </c>
      <c r="N36" t="s">
        <v>65</v>
      </c>
      <c r="O36">
        <v>11182.183415</v>
      </c>
    </row>
    <row r="37" spans="1:15" x14ac:dyDescent="0.25">
      <c r="A37">
        <v>35</v>
      </c>
      <c r="B37" t="s">
        <v>16</v>
      </c>
      <c r="C37">
        <v>6</v>
      </c>
      <c r="D37">
        <v>13441442.397700001</v>
      </c>
      <c r="E37">
        <v>448034364.53600001</v>
      </c>
      <c r="F37" t="s">
        <v>21</v>
      </c>
      <c r="G37">
        <v>6</v>
      </c>
      <c r="H37">
        <v>44803.436454000002</v>
      </c>
      <c r="I37">
        <v>5022035.3468800001</v>
      </c>
      <c r="J37">
        <v>534478486.514</v>
      </c>
      <c r="K37" t="s">
        <v>21</v>
      </c>
      <c r="L37">
        <v>53447.848651</v>
      </c>
      <c r="M37">
        <v>6</v>
      </c>
      <c r="N37" t="s">
        <v>66</v>
      </c>
      <c r="O37">
        <v>28215.521776000001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G8" sqref="G2:G8"/>
    </sheetView>
  </sheetViews>
  <sheetFormatPr defaultRowHeight="15" x14ac:dyDescent="0.25"/>
  <cols>
    <col min="1" max="1" width="24.85546875" customWidth="1"/>
    <col min="2" max="2" width="22" customWidth="1"/>
    <col min="3" max="3" width="24.28515625" customWidth="1"/>
    <col min="4" max="4" width="27.140625" customWidth="1"/>
    <col min="5" max="5" width="31.5703125" customWidth="1"/>
    <col min="6" max="6" width="29.85546875" customWidth="1"/>
    <col min="7" max="7" width="22" customWidth="1"/>
    <col min="8" max="8" width="15.28515625" customWidth="1"/>
  </cols>
  <sheetData>
    <row r="1" spans="1:9" x14ac:dyDescent="0.25">
      <c r="A1" s="1" t="s">
        <v>27</v>
      </c>
      <c r="B1" s="1" t="s">
        <v>26</v>
      </c>
      <c r="C1" s="1" t="s">
        <v>24</v>
      </c>
      <c r="D1" s="1" t="s">
        <v>25</v>
      </c>
      <c r="E1" s="1" t="s">
        <v>4</v>
      </c>
      <c r="F1" s="1" t="s">
        <v>5</v>
      </c>
      <c r="G1" s="1" t="s">
        <v>12</v>
      </c>
      <c r="H1" s="1" t="s">
        <v>13</v>
      </c>
      <c r="I1" s="1"/>
    </row>
    <row r="2" spans="1:9" x14ac:dyDescent="0.25">
      <c r="A2" s="1">
        <v>1</v>
      </c>
      <c r="B2" s="1" t="s">
        <v>16</v>
      </c>
      <c r="C2" s="1">
        <v>1</v>
      </c>
      <c r="D2" s="1">
        <v>4108402.083226</v>
      </c>
      <c r="E2" s="1">
        <v>90906961.424606994</v>
      </c>
      <c r="F2" s="1" t="s">
        <v>17</v>
      </c>
      <c r="H2" s="1">
        <v>1</v>
      </c>
      <c r="I2" s="1"/>
    </row>
    <row r="3" spans="1:9" x14ac:dyDescent="0.25">
      <c r="A3" s="1">
        <v>2</v>
      </c>
      <c r="B3" s="1" t="s">
        <v>16</v>
      </c>
      <c r="C3" s="1">
        <v>2</v>
      </c>
      <c r="D3" s="1">
        <v>7063874.5885939999</v>
      </c>
      <c r="E3" s="1">
        <v>198869968.401503</v>
      </c>
      <c r="F3" s="1" t="s">
        <v>18</v>
      </c>
      <c r="H3" s="1">
        <v>2</v>
      </c>
      <c r="I3" s="1"/>
    </row>
    <row r="4" spans="1:9" x14ac:dyDescent="0.25">
      <c r="A4" s="1">
        <v>3</v>
      </c>
      <c r="B4" s="1" t="s">
        <v>16</v>
      </c>
      <c r="C4" s="1">
        <v>3</v>
      </c>
      <c r="D4" s="1">
        <v>1203175.6951039999</v>
      </c>
      <c r="E4" s="1">
        <v>31348667.766816001</v>
      </c>
      <c r="F4" s="1" t="s">
        <v>22</v>
      </c>
      <c r="H4" s="1">
        <v>3</v>
      </c>
      <c r="I4" s="1"/>
    </row>
    <row r="5" spans="1:9" x14ac:dyDescent="0.25">
      <c r="A5" s="1">
        <v>4</v>
      </c>
      <c r="B5" s="1" t="s">
        <v>16</v>
      </c>
      <c r="C5" s="1">
        <v>4</v>
      </c>
      <c r="D5" s="1">
        <v>2313408.6579780001</v>
      </c>
      <c r="E5" s="1">
        <v>161086028.57308999</v>
      </c>
      <c r="F5" s="1" t="s">
        <v>19</v>
      </c>
      <c r="H5" s="1">
        <v>4</v>
      </c>
      <c r="I5" s="1"/>
    </row>
    <row r="6" spans="1:9" x14ac:dyDescent="0.25">
      <c r="A6" s="1">
        <v>5</v>
      </c>
      <c r="B6" s="1" t="s">
        <v>16</v>
      </c>
      <c r="C6" s="1">
        <v>5</v>
      </c>
      <c r="D6" s="1">
        <v>9341107.8115400001</v>
      </c>
      <c r="E6" s="1">
        <v>449959019.62813902</v>
      </c>
      <c r="F6" s="1" t="s">
        <v>20</v>
      </c>
      <c r="H6" s="1">
        <v>5</v>
      </c>
      <c r="I6" s="1"/>
    </row>
    <row r="7" spans="1:9" x14ac:dyDescent="0.25">
      <c r="A7" s="1">
        <v>6</v>
      </c>
      <c r="B7" s="1" t="s">
        <v>16</v>
      </c>
      <c r="C7" s="1">
        <v>6</v>
      </c>
      <c r="D7" s="1">
        <v>5022035.3468760001</v>
      </c>
      <c r="E7" s="1">
        <v>534478486.51442403</v>
      </c>
      <c r="F7" s="1" t="s">
        <v>21</v>
      </c>
      <c r="H7" s="1">
        <v>6</v>
      </c>
      <c r="I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G7" sqref="G2:G7"/>
    </sheetView>
  </sheetViews>
  <sheetFormatPr defaultRowHeight="15" x14ac:dyDescent="0.25"/>
  <cols>
    <col min="2" max="2" width="18.28515625" customWidth="1"/>
    <col min="3" max="3" width="24.42578125" customWidth="1"/>
    <col min="4" max="4" width="23.28515625" customWidth="1"/>
    <col min="5" max="5" width="25.5703125" customWidth="1"/>
    <col min="6" max="6" width="30.7109375" customWidth="1"/>
    <col min="7" max="7" width="19.7109375" customWidth="1"/>
    <col min="8" max="8" width="22.140625" customWidth="1"/>
  </cols>
  <sheetData>
    <row r="1" spans="1:10" x14ac:dyDescent="0.25">
      <c r="A1" s="1" t="s">
        <v>28</v>
      </c>
      <c r="B1" s="1" t="s">
        <v>26</v>
      </c>
      <c r="C1" s="1" t="s">
        <v>24</v>
      </c>
      <c r="D1" s="1" t="s">
        <v>25</v>
      </c>
      <c r="E1" s="1" t="s">
        <v>4</v>
      </c>
      <c r="F1" s="1" t="s">
        <v>5</v>
      </c>
      <c r="G1" s="1" t="s">
        <v>10</v>
      </c>
      <c r="H1" s="1" t="s">
        <v>11</v>
      </c>
      <c r="I1" s="1"/>
      <c r="J1" s="1"/>
    </row>
    <row r="2" spans="1:10" x14ac:dyDescent="0.25">
      <c r="A2" s="1">
        <v>1</v>
      </c>
      <c r="B2" s="1" t="s">
        <v>16</v>
      </c>
      <c r="C2" s="1">
        <v>1</v>
      </c>
      <c r="D2" s="1">
        <v>934021.33036100003</v>
      </c>
      <c r="E2" s="1">
        <v>27439275.981837999</v>
      </c>
      <c r="F2" s="1" t="s">
        <v>17</v>
      </c>
      <c r="G2" s="1">
        <v>2743.9275980000002</v>
      </c>
      <c r="H2" s="1">
        <v>1</v>
      </c>
      <c r="I2" s="1"/>
      <c r="J2" s="1"/>
    </row>
    <row r="3" spans="1:10" x14ac:dyDescent="0.25">
      <c r="A3" s="1">
        <v>2</v>
      </c>
      <c r="B3" s="1" t="s">
        <v>16</v>
      </c>
      <c r="C3" s="1">
        <v>2</v>
      </c>
      <c r="D3" s="1">
        <v>5701282.2032319997</v>
      </c>
      <c r="E3" s="1">
        <v>217572083.72216699</v>
      </c>
      <c r="F3" s="1" t="s">
        <v>18</v>
      </c>
      <c r="G3" s="1">
        <v>21757.208372000001</v>
      </c>
      <c r="H3" s="1">
        <v>2</v>
      </c>
      <c r="I3" s="1"/>
      <c r="J3" s="1"/>
    </row>
    <row r="4" spans="1:10" x14ac:dyDescent="0.25">
      <c r="A4" s="1">
        <v>3</v>
      </c>
      <c r="B4" s="1" t="s">
        <v>16</v>
      </c>
      <c r="C4" s="1">
        <v>3</v>
      </c>
      <c r="D4" s="1">
        <v>3273418.1979999999</v>
      </c>
      <c r="E4" s="1">
        <v>75855092.187481001</v>
      </c>
      <c r="F4" s="1" t="s">
        <v>22</v>
      </c>
      <c r="G4" s="1">
        <v>7585.5092189999996</v>
      </c>
      <c r="H4" s="1">
        <v>3</v>
      </c>
      <c r="I4" s="1"/>
      <c r="J4" s="1"/>
    </row>
    <row r="5" spans="1:10" x14ac:dyDescent="0.25">
      <c r="A5" s="1">
        <v>4</v>
      </c>
      <c r="B5" s="1" t="s">
        <v>16</v>
      </c>
      <c r="C5" s="1">
        <v>4</v>
      </c>
      <c r="D5" s="1">
        <v>10999843.755766001</v>
      </c>
      <c r="E5" s="1">
        <v>385381266.379278</v>
      </c>
      <c r="F5" s="1" t="s">
        <v>23</v>
      </c>
      <c r="G5" s="1">
        <v>38538.126638000002</v>
      </c>
      <c r="H5" s="1">
        <v>4</v>
      </c>
      <c r="I5" s="1"/>
      <c r="J5" s="1"/>
    </row>
    <row r="6" spans="1:10" x14ac:dyDescent="0.25">
      <c r="A6" s="1">
        <v>5</v>
      </c>
      <c r="B6" s="1" t="s">
        <v>16</v>
      </c>
      <c r="C6" s="1">
        <v>5</v>
      </c>
      <c r="D6" s="1">
        <v>8816997.0159230009</v>
      </c>
      <c r="E6" s="1">
        <v>335220453.57662302</v>
      </c>
      <c r="F6" s="1" t="s">
        <v>20</v>
      </c>
      <c r="G6" s="1">
        <v>33522.045358000003</v>
      </c>
      <c r="H6" s="1">
        <v>5</v>
      </c>
      <c r="I6" s="1"/>
      <c r="J6" s="1"/>
    </row>
    <row r="7" spans="1:10" x14ac:dyDescent="0.25">
      <c r="A7" s="1">
        <v>6</v>
      </c>
      <c r="B7" s="1" t="s">
        <v>16</v>
      </c>
      <c r="C7" s="1">
        <v>6</v>
      </c>
      <c r="D7" s="1">
        <v>8268252.0694530001</v>
      </c>
      <c r="E7" s="1">
        <v>425111684.321302</v>
      </c>
      <c r="F7" s="1" t="s">
        <v>21</v>
      </c>
      <c r="G7" s="1">
        <v>42511.168431999999</v>
      </c>
      <c r="H7" s="1">
        <v>6</v>
      </c>
      <c r="I7" s="1"/>
      <c r="J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2" sqref="H2:H7"/>
    </sheetView>
  </sheetViews>
  <sheetFormatPr defaultRowHeight="15" x14ac:dyDescent="0.25"/>
  <cols>
    <col min="4" max="4" width="18.42578125" customWidth="1"/>
    <col min="5" max="5" width="40.5703125" customWidth="1"/>
    <col min="6" max="6" width="51.85546875" customWidth="1"/>
    <col min="7" max="7" width="35.42578125" customWidth="1"/>
    <col min="8" max="8" width="22.7109375" customWidth="1"/>
  </cols>
  <sheetData>
    <row r="1" spans="1:8" x14ac:dyDescent="0.25">
      <c r="A1" s="1" t="s">
        <v>29</v>
      </c>
      <c r="B1" s="1" t="s">
        <v>1</v>
      </c>
      <c r="C1" s="1" t="s">
        <v>24</v>
      </c>
      <c r="D1" s="1" t="s">
        <v>25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 x14ac:dyDescent="0.25">
      <c r="A2" s="1">
        <v>1</v>
      </c>
      <c r="B2" s="1" t="s">
        <v>16</v>
      </c>
      <c r="C2" s="1">
        <v>1</v>
      </c>
      <c r="D2" s="1">
        <v>1487831.823811</v>
      </c>
      <c r="E2" s="1">
        <v>25178131.531977002</v>
      </c>
      <c r="F2" s="1" t="s">
        <v>17</v>
      </c>
      <c r="G2" s="1">
        <v>1</v>
      </c>
      <c r="H2" s="1">
        <v>2517.8131530000001</v>
      </c>
    </row>
    <row r="3" spans="1:8" x14ac:dyDescent="0.25">
      <c r="A3" s="1">
        <v>2</v>
      </c>
      <c r="B3" s="1" t="s">
        <v>16</v>
      </c>
      <c r="C3" s="1">
        <v>2</v>
      </c>
      <c r="D3" s="1">
        <v>4284552.3188450001</v>
      </c>
      <c r="E3" s="1">
        <v>134420780.110203</v>
      </c>
      <c r="F3" s="1" t="s">
        <v>18</v>
      </c>
      <c r="G3" s="1">
        <v>2</v>
      </c>
      <c r="H3" s="1">
        <v>13442.078011</v>
      </c>
    </row>
    <row r="4" spans="1:8" x14ac:dyDescent="0.25">
      <c r="A4" s="1">
        <v>3</v>
      </c>
      <c r="B4" s="1" t="s">
        <v>16</v>
      </c>
      <c r="C4" s="1">
        <v>3</v>
      </c>
      <c r="D4" s="1">
        <v>337501.17996799998</v>
      </c>
      <c r="E4" s="1">
        <v>6608524.512294</v>
      </c>
      <c r="F4" s="1" t="s">
        <v>22</v>
      </c>
      <c r="G4" s="1">
        <v>3</v>
      </c>
      <c r="H4" s="1">
        <v>660.85245099999997</v>
      </c>
    </row>
    <row r="5" spans="1:8" x14ac:dyDescent="0.25">
      <c r="A5" s="1">
        <v>4</v>
      </c>
      <c r="B5" s="1" t="s">
        <v>16</v>
      </c>
      <c r="C5" s="1">
        <v>4</v>
      </c>
      <c r="D5" s="1">
        <v>14280031.301247001</v>
      </c>
      <c r="E5" s="1">
        <v>198999055.98778701</v>
      </c>
      <c r="F5" s="1" t="s">
        <v>19</v>
      </c>
      <c r="G5" s="1">
        <v>4</v>
      </c>
      <c r="H5" s="1">
        <v>19899.905599000002</v>
      </c>
    </row>
    <row r="6" spans="1:8" x14ac:dyDescent="0.25">
      <c r="A6" s="1">
        <v>5</v>
      </c>
      <c r="B6" s="1" t="s">
        <v>16</v>
      </c>
      <c r="C6" s="1">
        <v>5</v>
      </c>
      <c r="D6" s="1">
        <v>18786646.698883001</v>
      </c>
      <c r="E6" s="1">
        <v>613578785.34935296</v>
      </c>
      <c r="F6" s="1" t="s">
        <v>20</v>
      </c>
      <c r="G6" s="1">
        <v>5</v>
      </c>
      <c r="H6" s="1">
        <v>61357.878535000003</v>
      </c>
    </row>
    <row r="7" spans="1:8" x14ac:dyDescent="0.25">
      <c r="A7" s="1">
        <v>6</v>
      </c>
      <c r="B7" s="1" t="s">
        <v>16</v>
      </c>
      <c r="C7" s="1">
        <v>6</v>
      </c>
      <c r="D7" s="1">
        <v>13441442.397689</v>
      </c>
      <c r="E7" s="1">
        <v>448034364.53559101</v>
      </c>
      <c r="F7" s="1" t="s">
        <v>21</v>
      </c>
      <c r="G7" s="1">
        <v>6</v>
      </c>
      <c r="H7" s="1">
        <v>44803.436454000002</v>
      </c>
    </row>
    <row r="8" spans="1:8" x14ac:dyDescent="0.25">
      <c r="F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" activeCellId="1" sqref="A1:A7 D1:D7"/>
    </sheetView>
  </sheetViews>
  <sheetFormatPr defaultRowHeight="15" x14ac:dyDescent="0.25"/>
  <cols>
    <col min="1" max="1" width="26.42578125" customWidth="1"/>
    <col min="2" max="2" width="23.5703125" customWidth="1"/>
    <col min="3" max="3" width="24.28515625" customWidth="1"/>
    <col min="4" max="4" width="25.85546875" customWidth="1"/>
    <col min="5" max="5" width="45.42578125" customWidth="1"/>
  </cols>
  <sheetData>
    <row r="1" spans="1:4" x14ac:dyDescent="0.25">
      <c r="A1" s="1" t="s">
        <v>5</v>
      </c>
      <c r="B1" s="1" t="s">
        <v>70</v>
      </c>
      <c r="C1" s="1" t="s">
        <v>69</v>
      </c>
      <c r="D1" s="1" t="s">
        <v>30</v>
      </c>
    </row>
    <row r="2" spans="1:4" x14ac:dyDescent="0.25">
      <c r="A2" s="1" t="s">
        <v>17</v>
      </c>
      <c r="B2" s="1">
        <v>2517.8131530000001</v>
      </c>
      <c r="C2" s="1">
        <v>9090.6961420000007</v>
      </c>
      <c r="D2" s="1">
        <f>(C2-B2)/10</f>
        <v>657.28829890000009</v>
      </c>
    </row>
    <row r="3" spans="1:4" x14ac:dyDescent="0.25">
      <c r="A3" s="1" t="s">
        <v>18</v>
      </c>
      <c r="B3" s="1">
        <v>13442.078011</v>
      </c>
      <c r="C3" s="1">
        <v>19886.99684</v>
      </c>
      <c r="D3" s="1">
        <f>(C3-B3)/10</f>
        <v>644.49188290000006</v>
      </c>
    </row>
    <row r="4" spans="1:4" x14ac:dyDescent="0.25">
      <c r="A4" s="1" t="s">
        <v>22</v>
      </c>
      <c r="B4" s="1">
        <v>660.85245099999997</v>
      </c>
      <c r="C4" s="1">
        <v>3134.8667770000002</v>
      </c>
      <c r="D4" s="1">
        <f>(C4-B4)/10</f>
        <v>247.40143260000005</v>
      </c>
    </row>
    <row r="5" spans="1:4" x14ac:dyDescent="0.25">
      <c r="A5" s="1" t="s">
        <v>19</v>
      </c>
      <c r="B5" s="1">
        <v>19899.905599000002</v>
      </c>
      <c r="C5" s="1">
        <v>16108.602857</v>
      </c>
      <c r="D5" s="1">
        <f>(C5-B5)/10</f>
        <v>-379.13027420000014</v>
      </c>
    </row>
    <row r="6" spans="1:4" x14ac:dyDescent="0.25">
      <c r="A6" s="1" t="s">
        <v>20</v>
      </c>
      <c r="B6" s="1">
        <v>61357.878535000003</v>
      </c>
      <c r="C6" s="1">
        <v>44995.901962999997</v>
      </c>
      <c r="D6" s="1">
        <f>(C6-B6)/10</f>
        <v>-1636.1976572000008</v>
      </c>
    </row>
    <row r="7" spans="1:4" x14ac:dyDescent="0.25">
      <c r="A7" s="1" t="s">
        <v>21</v>
      </c>
      <c r="B7" s="1">
        <v>44803.436454000002</v>
      </c>
      <c r="C7" s="1">
        <v>53447.848651</v>
      </c>
      <c r="D7" s="1">
        <f>(C7-B7)/10</f>
        <v>864.44121969999981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7" sqref="A1:B7"/>
    </sheetView>
  </sheetViews>
  <sheetFormatPr defaultRowHeight="15" x14ac:dyDescent="0.25"/>
  <cols>
    <col min="1" max="1" width="34" customWidth="1"/>
    <col min="2" max="2" width="35.5703125" customWidth="1"/>
  </cols>
  <sheetData>
    <row r="1" spans="1:2" x14ac:dyDescent="0.25">
      <c r="A1" s="1" t="s">
        <v>5</v>
      </c>
      <c r="B1" s="1" t="s">
        <v>30</v>
      </c>
    </row>
    <row r="2" spans="1:2" x14ac:dyDescent="0.25">
      <c r="A2" s="1" t="s">
        <v>17</v>
      </c>
      <c r="B2" s="1">
        <v>657.28829890000009</v>
      </c>
    </row>
    <row r="3" spans="1:2" x14ac:dyDescent="0.25">
      <c r="A3" s="1" t="s">
        <v>18</v>
      </c>
      <c r="B3" s="1">
        <v>644.49188290000006</v>
      </c>
    </row>
    <row r="4" spans="1:2" x14ac:dyDescent="0.25">
      <c r="A4" s="1" t="s">
        <v>22</v>
      </c>
      <c r="B4" s="1">
        <v>247.40143260000005</v>
      </c>
    </row>
    <row r="5" spans="1:2" x14ac:dyDescent="0.25">
      <c r="A5" s="1" t="s">
        <v>19</v>
      </c>
      <c r="B5" s="1">
        <v>-379.13027420000014</v>
      </c>
    </row>
    <row r="6" spans="1:2" x14ac:dyDescent="0.25">
      <c r="A6" s="1" t="s">
        <v>20</v>
      </c>
      <c r="B6" s="1">
        <v>-1636.1976572000008</v>
      </c>
    </row>
    <row r="7" spans="1:2" x14ac:dyDescent="0.25">
      <c r="A7" s="1" t="s">
        <v>21</v>
      </c>
      <c r="B7" s="1">
        <v>864.44121969999981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2" sqref="A2"/>
    </sheetView>
  </sheetViews>
  <sheetFormatPr defaultRowHeight="15" x14ac:dyDescent="0.25"/>
  <cols>
    <col min="1" max="1" width="28.85546875" customWidth="1"/>
    <col min="2" max="2" width="35" customWidth="1"/>
    <col min="3" max="3" width="28.140625" customWidth="1"/>
    <col min="4" max="4" width="34" customWidth="1"/>
  </cols>
  <sheetData>
    <row r="1" spans="1:4" ht="21" x14ac:dyDescent="0.35">
      <c r="A1" s="2" t="s">
        <v>5</v>
      </c>
      <c r="B1" s="2" t="s">
        <v>67</v>
      </c>
      <c r="C1" s="2" t="s">
        <v>68</v>
      </c>
      <c r="D1" s="2" t="s">
        <v>69</v>
      </c>
    </row>
    <row r="2" spans="1:4" x14ac:dyDescent="0.25">
      <c r="A2" s="1" t="s">
        <v>17</v>
      </c>
      <c r="B2" s="1">
        <v>2517.8131530000001</v>
      </c>
      <c r="C2" s="1">
        <v>2743.9275980000002</v>
      </c>
      <c r="D2" s="1">
        <v>9090.6961420000007</v>
      </c>
    </row>
    <row r="3" spans="1:4" x14ac:dyDescent="0.25">
      <c r="A3" s="1" t="s">
        <v>18</v>
      </c>
      <c r="B3" s="1">
        <v>13442.078011</v>
      </c>
      <c r="C3" s="1">
        <v>21757.208372000001</v>
      </c>
      <c r="D3" s="1">
        <v>19886.99684</v>
      </c>
    </row>
    <row r="4" spans="1:4" x14ac:dyDescent="0.25">
      <c r="A4" s="1" t="s">
        <v>22</v>
      </c>
      <c r="B4" s="1">
        <v>660.85245099999997</v>
      </c>
      <c r="C4" s="1">
        <v>7585.5092189999996</v>
      </c>
      <c r="D4" s="1">
        <v>3134.8667770000002</v>
      </c>
    </row>
    <row r="5" spans="1:4" x14ac:dyDescent="0.25">
      <c r="A5" s="1" t="s">
        <v>19</v>
      </c>
      <c r="B5" s="1">
        <v>19899.905599000002</v>
      </c>
      <c r="C5" s="1">
        <v>38538.126638000002</v>
      </c>
      <c r="D5" s="1">
        <v>16108.602857</v>
      </c>
    </row>
    <row r="6" spans="1:4" x14ac:dyDescent="0.25">
      <c r="A6" s="1" t="s">
        <v>20</v>
      </c>
      <c r="B6" s="1">
        <v>61357.878535000003</v>
      </c>
      <c r="C6" s="1">
        <v>33522.045358000003</v>
      </c>
      <c r="D6" s="1">
        <v>44995.901962999997</v>
      </c>
    </row>
    <row r="7" spans="1:4" x14ac:dyDescent="0.25">
      <c r="A7" s="1" t="s">
        <v>21</v>
      </c>
      <c r="B7" s="1">
        <v>44803.436454000002</v>
      </c>
      <c r="C7" s="1">
        <v>42511.168431999999</v>
      </c>
      <c r="D7" s="1">
        <v>53447.848651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opLeftCell="A4" workbookViewId="0">
      <selection activeCell="E11" sqref="E11"/>
    </sheetView>
  </sheetViews>
  <sheetFormatPr defaultRowHeight="15" x14ac:dyDescent="0.25"/>
  <cols>
    <col min="1" max="1" width="26.85546875" customWidth="1"/>
    <col min="2" max="2" width="25.140625" customWidth="1"/>
    <col min="3" max="3" width="27.85546875" customWidth="1"/>
    <col min="4" max="4" width="20.7109375" customWidth="1"/>
    <col min="5" max="5" width="20.42578125" customWidth="1"/>
    <col min="6" max="6" width="23.28515625" customWidth="1"/>
    <col min="7" max="7" width="24.85546875" customWidth="1"/>
  </cols>
  <sheetData>
    <row r="1" spans="1:7" x14ac:dyDescent="0.25">
      <c r="B1" s="1" t="s">
        <v>17</v>
      </c>
      <c r="C1" s="1" t="s">
        <v>18</v>
      </c>
      <c r="D1" s="1" t="s">
        <v>22</v>
      </c>
      <c r="E1" s="1" t="s">
        <v>19</v>
      </c>
      <c r="F1" s="1" t="s">
        <v>20</v>
      </c>
      <c r="G1" s="1" t="s">
        <v>21</v>
      </c>
    </row>
    <row r="2" spans="1:7" x14ac:dyDescent="0.25">
      <c r="A2">
        <v>1995</v>
      </c>
      <c r="B2" s="1">
        <v>2517.8131530000001</v>
      </c>
      <c r="C2" s="1">
        <v>13442.078011</v>
      </c>
      <c r="D2" s="1">
        <v>660.85245099999997</v>
      </c>
      <c r="E2" s="1">
        <v>19899.905599000002</v>
      </c>
      <c r="F2" s="1">
        <v>61357.878535000003</v>
      </c>
      <c r="G2" s="1">
        <v>44803.436454000002</v>
      </c>
    </row>
    <row r="3" spans="1:7" x14ac:dyDescent="0.25">
      <c r="A3" s="1">
        <v>2015</v>
      </c>
      <c r="B3" s="1">
        <v>2743.9275980000002</v>
      </c>
      <c r="C3" s="1">
        <v>21757.208372000001</v>
      </c>
      <c r="D3" s="1">
        <v>7585.5092189999996</v>
      </c>
      <c r="E3" s="1">
        <v>38538.126638000002</v>
      </c>
      <c r="F3" s="1">
        <v>33522.045358000003</v>
      </c>
      <c r="G3" s="1">
        <v>42511.168431999999</v>
      </c>
    </row>
    <row r="4" spans="1:7" x14ac:dyDescent="0.25">
      <c r="A4">
        <v>2025</v>
      </c>
      <c r="B4" s="1">
        <v>9090.6961420000007</v>
      </c>
      <c r="C4" s="1">
        <v>19886.99684</v>
      </c>
      <c r="D4" s="1">
        <v>3134.8667770000002</v>
      </c>
      <c r="E4" s="1">
        <v>16108.602857</v>
      </c>
      <c r="F4" s="1">
        <v>44995.901962999997</v>
      </c>
      <c r="G4" s="1">
        <v>53447.848651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LULC_Change Analysis</vt:lpstr>
      <vt:lpstr>LULC_2025</vt:lpstr>
      <vt:lpstr>LULC_2015</vt:lpstr>
      <vt:lpstr>LULC_1995</vt:lpstr>
      <vt:lpstr>Annual Rate of Change</vt:lpstr>
      <vt:lpstr>Sheet3</vt:lpstr>
      <vt:lpstr>LULC Chart</vt:lpstr>
      <vt:lpstr>Change Over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DEE-DELL</dc:creator>
  <cp:lastModifiedBy>DEE-DELL</cp:lastModifiedBy>
  <dcterms:created xsi:type="dcterms:W3CDTF">2025-06-04T17:16:56Z</dcterms:created>
  <dcterms:modified xsi:type="dcterms:W3CDTF">2025-06-21T19:50:24Z</dcterms:modified>
</cp:coreProperties>
</file>