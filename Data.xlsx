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-DELL\Documents\Oba Hills\Output\"/>
    </mc:Choice>
  </mc:AlternateContent>
  <bookViews>
    <workbookView xWindow="0" yWindow="0" windowWidth="28800" windowHeight="12180" activeTab="1"/>
  </bookViews>
  <sheets>
    <sheet name="2026" sheetId="1" r:id="rId1"/>
    <sheet name="2016" sheetId="2" r:id="rId2"/>
    <sheet name="2006" sheetId="4" r:id="rId3"/>
    <sheet name="1996" sheetId="5" r:id="rId4"/>
    <sheet name="2016-2026" sheetId="3" r:id="rId5"/>
    <sheet name="2006-2016" sheetId="6" r:id="rId6"/>
    <sheet name="1996-2006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2" l="1"/>
  <c r="C9" i="1"/>
  <c r="D8" i="5"/>
</calcChain>
</file>

<file path=xl/sharedStrings.xml><?xml version="1.0" encoding="utf-8"?>
<sst xmlns="http://schemas.openxmlformats.org/spreadsheetml/2006/main" count="260" uniqueCount="87">
  <si>
    <t>DN</t>
  </si>
  <si>
    <t>Area</t>
  </si>
  <si>
    <t>Agriculture</t>
  </si>
  <si>
    <t>Grassland</t>
  </si>
  <si>
    <t>Exposed Surface</t>
  </si>
  <si>
    <t>Sparse Forest</t>
  </si>
  <si>
    <t>Dense Forest</t>
  </si>
  <si>
    <t>Classes</t>
  </si>
  <si>
    <t>Rock</t>
  </si>
  <si>
    <t>DN_2</t>
  </si>
  <si>
    <t>Field</t>
  </si>
  <si>
    <t>2_3</t>
  </si>
  <si>
    <t>5_1</t>
  </si>
  <si>
    <t>2_2</t>
  </si>
  <si>
    <t>5_4</t>
  </si>
  <si>
    <t>3_2</t>
  </si>
  <si>
    <t>4_6</t>
  </si>
  <si>
    <t>5_3</t>
  </si>
  <si>
    <t>3_1</t>
  </si>
  <si>
    <t>4_3</t>
  </si>
  <si>
    <t>6_5</t>
  </si>
  <si>
    <t>4_2</t>
  </si>
  <si>
    <t>6_4</t>
  </si>
  <si>
    <t>4_5</t>
  </si>
  <si>
    <t>4_4</t>
  </si>
  <si>
    <t>6_6</t>
  </si>
  <si>
    <t>6_1</t>
  </si>
  <si>
    <t>4_1</t>
  </si>
  <si>
    <t>6_3</t>
  </si>
  <si>
    <t>6_2</t>
  </si>
  <si>
    <t>1_6</t>
  </si>
  <si>
    <t>1_5</t>
  </si>
  <si>
    <t>2_5</t>
  </si>
  <si>
    <t>5_6</t>
  </si>
  <si>
    <t>3_4</t>
  </si>
  <si>
    <t>2_4</t>
  </si>
  <si>
    <t>3_3</t>
  </si>
  <si>
    <t>1_2</t>
  </si>
  <si>
    <t>5_5</t>
  </si>
  <si>
    <t>2_6</t>
  </si>
  <si>
    <t>1_1</t>
  </si>
  <si>
    <t>3_6</t>
  </si>
  <si>
    <t>2_1</t>
  </si>
  <si>
    <t>1_4</t>
  </si>
  <si>
    <t>3_5</t>
  </si>
  <si>
    <t>5_2</t>
  </si>
  <si>
    <t>1_3</t>
  </si>
  <si>
    <t>ChangeName</t>
  </si>
  <si>
    <t>Stable Sparse Forest</t>
  </si>
  <si>
    <t>Stable Rock</t>
  </si>
  <si>
    <t>Stable Grassland</t>
  </si>
  <si>
    <t>Stable Exposed Surface</t>
  </si>
  <si>
    <t>Stable Dense Forest</t>
  </si>
  <si>
    <t>Stable Agriculture</t>
  </si>
  <si>
    <t>Sparse Forest to Rock</t>
  </si>
  <si>
    <t>Sparse Forest to Grassland</t>
  </si>
  <si>
    <t>Sparse Forest to Exposed Surface</t>
  </si>
  <si>
    <t>Sparse Forest to Dense Forest</t>
  </si>
  <si>
    <t>Sparse Forest to Agriculture</t>
  </si>
  <si>
    <t>Rock to Sparse Forest</t>
  </si>
  <si>
    <t>Rock to Grassland</t>
  </si>
  <si>
    <t>Rock to Exposed Surface</t>
  </si>
  <si>
    <t>Rock to Dense Forest</t>
  </si>
  <si>
    <t>Rock to Agriculture</t>
  </si>
  <si>
    <t>Grassland to Sparse Forest</t>
  </si>
  <si>
    <t>Grassland to Rock</t>
  </si>
  <si>
    <t>Grassland to Exposed Surface</t>
  </si>
  <si>
    <t>Grassland to Dense Forest</t>
  </si>
  <si>
    <t>Grassland to Agriculture</t>
  </si>
  <si>
    <t>Exposed Surface to Sparse Forest</t>
  </si>
  <si>
    <t>Exposed Surface to Rock</t>
  </si>
  <si>
    <t>Exposed Surface to Grassland</t>
  </si>
  <si>
    <t>Exposed Surface to Dense Forest</t>
  </si>
  <si>
    <t>Exposed Surface to Agriculture</t>
  </si>
  <si>
    <t>Dense Forest to Sparse Forest</t>
  </si>
  <si>
    <t>Dense Forest to Rock</t>
  </si>
  <si>
    <t>Dense Forest to Grassland</t>
  </si>
  <si>
    <t>Dense Forest to Exposed Surface</t>
  </si>
  <si>
    <t>Dense Forest to Agriculture</t>
  </si>
  <si>
    <t>Agriculture to Sparse Forest</t>
  </si>
  <si>
    <t>Agriculture to Rock</t>
  </si>
  <si>
    <t>Agriculture to Grassland</t>
  </si>
  <si>
    <t>Agriculture to Exposed Surface</t>
  </si>
  <si>
    <t>Agriculture to Dense Forest</t>
  </si>
  <si>
    <t>Change</t>
  </si>
  <si>
    <t>Area_ha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</si>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</sst>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LULC</a:t>
            </a:r>
            <a:r>
              <a:rPr lang="en-US" baseline="0"/>
              <a:t> Distribution for 2026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'2026'!$C$1</c:f>
              <c:strCache>
                <c:ptCount val="1"/>
                <c:pt idx="0">
                  <c:v>Area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'2026'!$A$2:$B$13</c:f>
              <c:strCache>
                <c:ptCount val="6"/>
                <c:pt idx="0">
                  <c:v>Dense Forest</c:v>
                </c:pt>
                <c:pt idx="1">
                  <c:v>Sparse Forest</c:v>
                </c:pt>
                <c:pt idx="2">
                  <c:v>Grassland</c:v>
                </c:pt>
                <c:pt idx="3">
                  <c:v>Agriculture</c:v>
                </c:pt>
                <c:pt idx="4">
                  <c:v>Rock</c:v>
                </c:pt>
                <c:pt idx="5">
                  <c:v>Exposed Surface</c:v>
                </c:pt>
              </c:strCache>
            </c:strRef>
          </c:cat>
          <c:val>
            <c:numRef>
              <c:f>'2026'!$C$2:$C$13</c:f>
              <c:numCache>
                <c:formatCode>General</c:formatCode>
                <c:ptCount val="12"/>
                <c:pt idx="0">
                  <c:v>84.546999999999997</c:v>
                </c:pt>
                <c:pt idx="1">
                  <c:v>1451.886</c:v>
                </c:pt>
                <c:pt idx="2">
                  <c:v>333.50599999999997</c:v>
                </c:pt>
                <c:pt idx="3">
                  <c:v>2589.08</c:v>
                </c:pt>
                <c:pt idx="4">
                  <c:v>271.55900000000003</c:v>
                </c:pt>
                <c:pt idx="5">
                  <c:v>198.357</c:v>
                </c:pt>
                <c:pt idx="7">
                  <c:v>4928.9350000000004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F-4E18-8410-4344F99C2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0558447"/>
        <c:axId val="1900549711"/>
      </c:barChart>
      <c:catAx>
        <c:axId val="190055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Class distribution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0549711"/>
        <c:crosses val="autoZero"/>
        <c:auto val="1"/>
        <c:lblAlgn val="ctr"/>
        <c:lblOffset val="100"/>
        <c:noMultiLvlLbl val="0"/>
      </c:catAx>
      <c:valAx>
        <c:axId val="1900549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Area per hectare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055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'2016'!$D$7</c:f>
              <c:strCache>
                <c:ptCount val="1"/>
                <c:pt idx="0">
                  <c:v>275.159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'2016'!$C$1:$C$6</c:f>
              <c:strCache>
                <c:ptCount val="6"/>
                <c:pt idx="0">
                  <c:v>Classes</c:v>
                </c:pt>
                <c:pt idx="1">
                  <c:v>Dense Forest</c:v>
                </c:pt>
                <c:pt idx="2">
                  <c:v>Sparse Forest</c:v>
                </c:pt>
                <c:pt idx="3">
                  <c:v>Grassland</c:v>
                </c:pt>
                <c:pt idx="4">
                  <c:v>Agriculture</c:v>
                </c:pt>
                <c:pt idx="5">
                  <c:v>Rock</c:v>
                </c:pt>
              </c:strCache>
            </c:strRef>
          </c:cat>
          <c:val>
            <c:numRef>
              <c:f>'2016'!$C$7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D-4B36-94E3-62AC7BFBB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0553871"/>
        <c:axId val="1900547215"/>
      </c:barChart>
      <c:catAx>
        <c:axId val="190055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547215"/>
        <c:crosses val="autoZero"/>
        <c:auto val="1"/>
        <c:lblAlgn val="ctr"/>
        <c:lblOffset val="100"/>
        <c:noMultiLvlLbl val="0"/>
      </c:catAx>
      <c:valAx>
        <c:axId val="19005472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0055387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LULC Area Distribution (2016)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'2016'!$D$1</c:f>
              <c:strCache>
                <c:ptCount val="1"/>
                <c:pt idx="0">
                  <c:v>Area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'2016'!$C$2:$C$9</c15:sqref>
                  </c15:fullRef>
                </c:ext>
              </c:extLst>
              <c:f>'2016'!$C$2:$C$7</c:f>
              <c:strCache>
                <c:ptCount val="6"/>
                <c:pt idx="0">
                  <c:v>Dense Forest</c:v>
                </c:pt>
                <c:pt idx="1">
                  <c:v>Sparse Forest</c:v>
                </c:pt>
                <c:pt idx="2">
                  <c:v>Grassland</c:v>
                </c:pt>
                <c:pt idx="3">
                  <c:v>Agriculture</c:v>
                </c:pt>
                <c:pt idx="4">
                  <c:v>Rock</c:v>
                </c:pt>
                <c:pt idx="5">
                  <c:v>Exposed Surface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'2016'!$D$2:$D$9</c15:sqref>
                  </c15:fullRef>
                </c:ext>
              </c:extLst>
              <c:f>'2016'!$D$2:$D$7</c:f>
              <c:numCache>
                <c:formatCode>General</c:formatCode>
                <c:ptCount val="6"/>
                <c:pt idx="0">
                  <c:v>159.91200000000001</c:v>
                </c:pt>
                <c:pt idx="1">
                  <c:v>793.60900000000004</c:v>
                </c:pt>
                <c:pt idx="2">
                  <c:v>775.33</c:v>
                </c:pt>
                <c:pt idx="3">
                  <c:v>1640.963</c:v>
                </c:pt>
                <c:pt idx="4">
                  <c:v>1283.963</c:v>
                </c:pt>
                <c:pt idx="5">
                  <c:v>275.15899999999999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A-4D62-B858-FBBDA7DA4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589119"/>
        <c:axId val="212956374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'2016'!$E$1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'2016'!$C$2:$C$9</c15:sqref>
                        </c15:fullRef>
                        <c15:formulaRef>
                          <c15:sqref>'2016'!$C$2:$C$7</c15:sqref>
                        </c15:formulaRef>
                      </c:ext>
                    </c:extLst>
                    <c:strCache>
                      <c:ptCount val="6"/>
                      <c:pt idx="0">
                        <c:v>Dense Forest</c:v>
                      </c:pt>
                      <c:pt idx="1">
                        <c:v>Sparse Forest</c:v>
                      </c:pt>
                      <c:pt idx="2">
                        <c:v>Grassland</c:v>
                      </c:pt>
                      <c:pt idx="3">
                        <c:v>Agriculture</c:v>
                      </c:pt>
                      <c:pt idx="4">
                        <c:v>Rock</c:v>
                      </c:pt>
                      <c:pt idx="5">
                        <c:v>Exposed Surface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'2016'!$E$2:$E$9</c15:sqref>
                        </c15:fullRef>
                        <c15:formulaRef>
                          <c15:sqref>'2016'!$E$2:$E$7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32A-4D62-B858-FBBDA7DA45E8}"/>
                  </c:ext>
                </c:extLst>
              </c15:ser>
            </c15:filteredBarSeries>
          </c:ext>
        </c:extLst>
      </c:barChart>
      <c:catAx>
        <c:axId val="212958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Class Distribution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29563743"/>
        <c:crosses val="autoZero"/>
        <c:auto val="1"/>
        <c:lblAlgn val="ctr"/>
        <c:lblOffset val="100"/>
        <c:noMultiLvlLbl val="0"/>
      </c:catAx>
      <c:valAx>
        <c:axId val="2129563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Area per hectare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2958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LULC Area Distribution (2006)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81714785651792"/>
          <c:y val="0.15782407407407409"/>
          <c:w val="0.81862729658792655"/>
          <c:h val="0.571859507144940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'2006'!$E$1</c:f>
              <c:strCache>
                <c:ptCount val="1"/>
                <c:pt idx="0">
                  <c:v>Area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'2006'!$D$2:$D$7</c:f>
              <c:strCache>
                <c:ptCount val="6"/>
                <c:pt idx="0">
                  <c:v>Dense Forest</c:v>
                </c:pt>
                <c:pt idx="1">
                  <c:v>Sparse Forest</c:v>
                </c:pt>
                <c:pt idx="2">
                  <c:v>Grassland</c:v>
                </c:pt>
                <c:pt idx="3">
                  <c:v>Agriculture</c:v>
                </c:pt>
                <c:pt idx="4">
                  <c:v>Rock</c:v>
                </c:pt>
                <c:pt idx="5">
                  <c:v>Exposed Surface</c:v>
                </c:pt>
              </c:strCache>
            </c:strRef>
          </c:cat>
          <c:val>
            <c:numRef>
              <c:f>'2006'!$E$2:$E$7</c:f>
              <c:numCache>
                <c:formatCode>General</c:formatCode>
                <c:ptCount val="6"/>
                <c:pt idx="0">
                  <c:v>118.492</c:v>
                </c:pt>
                <c:pt idx="1">
                  <c:v>791.36</c:v>
                </c:pt>
                <c:pt idx="2">
                  <c:v>712.93200000000002</c:v>
                </c:pt>
                <c:pt idx="3">
                  <c:v>1924.049</c:v>
                </c:pt>
                <c:pt idx="4">
                  <c:v>1006.729</c:v>
                </c:pt>
                <c:pt idx="5">
                  <c:v>375.37200000000001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9-473A-BA1C-A9BEFA073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0453855"/>
        <c:axId val="21204617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'2006'!$F$1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'2006'!$D$2:$D$7</c15:sqref>
                        </c15:formulaRef>
                      </c:ext>
                    </c:extLst>
                    <c:strCache>
                      <c:ptCount val="6"/>
                      <c:pt idx="0">
                        <c:v>Dense Forest</c:v>
                      </c:pt>
                      <c:pt idx="1">
                        <c:v>Sparse Forest</c:v>
                      </c:pt>
                      <c:pt idx="2">
                        <c:v>Grassland</c:v>
                      </c:pt>
                      <c:pt idx="3">
                        <c:v>Agriculture</c:v>
                      </c:pt>
                      <c:pt idx="4">
                        <c:v>Rock</c:v>
                      </c:pt>
                      <c:pt idx="5">
                        <c:v>Exposed Surface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'2006'!$F$2:$F$7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BA9-473A-BA1C-A9BEFA073EE2}"/>
                  </c:ext>
                </c:extLst>
              </c15:ser>
            </c15:filteredBarSeries>
          </c:ext>
        </c:extLst>
      </c:barChart>
      <c:catAx>
        <c:axId val="212045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Class Distribution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20461759"/>
        <c:crosses val="autoZero"/>
        <c:auto val="1"/>
        <c:lblAlgn val="ctr"/>
        <c:lblOffset val="100"/>
        <c:noMultiLvlLbl val="0"/>
      </c:catAx>
      <c:valAx>
        <c:axId val="21204617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Area per hectare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2045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LULC</a:t>
            </a:r>
            <a:r>
              <a:rPr lang="en-US" baseline="0"/>
              <a:t> Area Distribution (1996)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'1996'!$D$1</c:f>
              <c:strCache>
                <c:ptCount val="1"/>
                <c:pt idx="0">
                  <c:v>Area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'1996'!$C$2:$C$12</c15:sqref>
                  </c15:fullRef>
                </c:ext>
              </c:extLst>
              <c:f>'1996'!$C$2:$C$7</c:f>
              <c:strCache>
                <c:ptCount val="6"/>
                <c:pt idx="0">
                  <c:v>Dense Forest</c:v>
                </c:pt>
                <c:pt idx="1">
                  <c:v>Sparse Forest</c:v>
                </c:pt>
                <c:pt idx="2">
                  <c:v>Grassland</c:v>
                </c:pt>
                <c:pt idx="3">
                  <c:v>Agriculture</c:v>
                </c:pt>
                <c:pt idx="4">
                  <c:v>Rock</c:v>
                </c:pt>
                <c:pt idx="5">
                  <c:v>Exposed Surface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'1996'!$D$2:$D$12</c15:sqref>
                  </c15:fullRef>
                </c:ext>
              </c:extLst>
              <c:f>'1996'!$D$2:$D$7</c:f>
              <c:numCache>
                <c:formatCode>General</c:formatCode>
                <c:ptCount val="6"/>
                <c:pt idx="0">
                  <c:v>143.304</c:v>
                </c:pt>
                <c:pt idx="1">
                  <c:v>554.85</c:v>
                </c:pt>
                <c:pt idx="2">
                  <c:v>1512.3689999999999</c:v>
                </c:pt>
                <c:pt idx="3">
                  <c:v>1064.81</c:v>
                </c:pt>
                <c:pt idx="4">
                  <c:v>1290.8520000000001</c:v>
                </c:pt>
                <c:pt idx="5">
                  <c:v>361.35899999999998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4-46D0-A8FB-091F1CF4F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0460095"/>
        <c:axId val="212045551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'1996'!$E$1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'1996'!$C$2:$C$12</c15:sqref>
                        </c15:fullRef>
                        <c15:formulaRef>
                          <c15:sqref>'1996'!$C$2:$C$7</c15:sqref>
                        </c15:formulaRef>
                      </c:ext>
                    </c:extLst>
                    <c:strCache>
                      <c:ptCount val="6"/>
                      <c:pt idx="0">
                        <c:v>Dense Forest</c:v>
                      </c:pt>
                      <c:pt idx="1">
                        <c:v>Sparse Forest</c:v>
                      </c:pt>
                      <c:pt idx="2">
                        <c:v>Grassland</c:v>
                      </c:pt>
                      <c:pt idx="3">
                        <c:v>Agriculture</c:v>
                      </c:pt>
                      <c:pt idx="4">
                        <c:v>Rock</c:v>
                      </c:pt>
                      <c:pt idx="5">
                        <c:v>Exposed Surface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'1996'!$E$2:$E$12</c15:sqref>
                        </c15:fullRef>
                        <c15:formulaRef>
                          <c15:sqref>'1996'!$E$2:$E$7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D04-46D0-A8FB-091F1CF4F2A2}"/>
                  </c:ext>
                </c:extLst>
              </c15:ser>
            </c15:filteredBarSeries>
          </c:ext>
        </c:extLst>
      </c:barChart>
      <c:catAx>
        <c:axId val="212046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455519"/>
        <c:crosses val="autoZero"/>
        <c:auto val="1"/>
        <c:lblAlgn val="ctr"/>
        <c:lblOffset val="100"/>
        <c:noMultiLvlLbl val="0"/>
      </c:catAx>
      <c:valAx>
        <c:axId val="2120455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 per hectare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46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LULC Change</a:t>
            </a:r>
            <a:r>
              <a:rPr lang="en-US" baseline="0"/>
              <a:t> Detection Area Distribution (2016-2026)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'2016-2026'!$F$1</c:f>
              <c:strCache>
                <c:ptCount val="1"/>
                <c:pt idx="0">
                  <c:v>Area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'2016-2026'!$E$2:$E$37</c:f>
              <c:strCache>
                <c:ptCount val="36"/>
                <c:pt idx="0">
                  <c:v>Stable Sparse Forest</c:v>
                </c:pt>
                <c:pt idx="1">
                  <c:v>Stable Rock</c:v>
                </c:pt>
                <c:pt idx="2">
                  <c:v>Stable Grassland</c:v>
                </c:pt>
                <c:pt idx="3">
                  <c:v>Stable Exposed Surface</c:v>
                </c:pt>
                <c:pt idx="4">
                  <c:v>Stable Dense Forest</c:v>
                </c:pt>
                <c:pt idx="5">
                  <c:v>Stable Agriculture</c:v>
                </c:pt>
                <c:pt idx="6">
                  <c:v>Sparse Forest to Rock</c:v>
                </c:pt>
                <c:pt idx="7">
                  <c:v>Sparse Forest to Grassland</c:v>
                </c:pt>
                <c:pt idx="8">
                  <c:v>Sparse Forest to Exposed Surface</c:v>
                </c:pt>
                <c:pt idx="9">
                  <c:v>Sparse Forest to Dense Forest</c:v>
                </c:pt>
                <c:pt idx="10">
                  <c:v>Sparse Forest to Agriculture</c:v>
                </c:pt>
                <c:pt idx="11">
                  <c:v>Rock to Sparse Forest</c:v>
                </c:pt>
                <c:pt idx="12">
                  <c:v>Rock to Grassland</c:v>
                </c:pt>
                <c:pt idx="13">
                  <c:v>Rock to Exposed Surface</c:v>
                </c:pt>
                <c:pt idx="14">
                  <c:v>Rock to Dense Forest</c:v>
                </c:pt>
                <c:pt idx="15">
                  <c:v>Rock to Agriculture</c:v>
                </c:pt>
                <c:pt idx="16">
                  <c:v>Grassland to Sparse Forest</c:v>
                </c:pt>
                <c:pt idx="17">
                  <c:v>Grassland to Rock</c:v>
                </c:pt>
                <c:pt idx="18">
                  <c:v>Grassland to Exposed Surface</c:v>
                </c:pt>
                <c:pt idx="19">
                  <c:v>Grassland to Dense Forest</c:v>
                </c:pt>
                <c:pt idx="20">
                  <c:v>Grassland to Agriculture</c:v>
                </c:pt>
                <c:pt idx="21">
                  <c:v>Exposed Surface to Sparse Forest</c:v>
                </c:pt>
                <c:pt idx="22">
                  <c:v>Exposed Surface to Rock</c:v>
                </c:pt>
                <c:pt idx="23">
                  <c:v>Exposed Surface to Grassland</c:v>
                </c:pt>
                <c:pt idx="24">
                  <c:v>Exposed Surface to Dense Forest</c:v>
                </c:pt>
                <c:pt idx="25">
                  <c:v>Exposed Surface to Agriculture</c:v>
                </c:pt>
                <c:pt idx="26">
                  <c:v>Dense Forest to Sparse Forest</c:v>
                </c:pt>
                <c:pt idx="27">
                  <c:v>Dense Forest to Rock</c:v>
                </c:pt>
                <c:pt idx="28">
                  <c:v>Dense Forest to Grassland</c:v>
                </c:pt>
                <c:pt idx="29">
                  <c:v>Dense Forest to Exposed Surface</c:v>
                </c:pt>
                <c:pt idx="30">
                  <c:v>Dense Forest to Agriculture</c:v>
                </c:pt>
                <c:pt idx="31">
                  <c:v>Agriculture to Sparse Forest</c:v>
                </c:pt>
                <c:pt idx="32">
                  <c:v>Agriculture to Rock</c:v>
                </c:pt>
                <c:pt idx="33">
                  <c:v>Agriculture to Grassland</c:v>
                </c:pt>
                <c:pt idx="34">
                  <c:v>Agriculture to Exposed Surface</c:v>
                </c:pt>
                <c:pt idx="35">
                  <c:v>Agriculture to Dense Forest</c:v>
                </c:pt>
              </c:strCache>
            </c:strRef>
          </c:cat>
          <c:val>
            <c:numRef>
              <c:f>'2016-2026'!$F$2:$F$37</c:f>
              <c:numCache>
                <c:formatCode>General</c:formatCode>
                <c:ptCount val="36"/>
                <c:pt idx="0">
                  <c:v>455.15</c:v>
                </c:pt>
                <c:pt idx="1">
                  <c:v>240.41</c:v>
                </c:pt>
                <c:pt idx="2">
                  <c:v>188.36</c:v>
                </c:pt>
                <c:pt idx="3">
                  <c:v>43.85</c:v>
                </c:pt>
                <c:pt idx="4">
                  <c:v>20.89</c:v>
                </c:pt>
                <c:pt idx="5">
                  <c:v>1078.49</c:v>
                </c:pt>
                <c:pt idx="6">
                  <c:v>13.87</c:v>
                </c:pt>
                <c:pt idx="7">
                  <c:v>14.59</c:v>
                </c:pt>
                <c:pt idx="8">
                  <c:v>15.04</c:v>
                </c:pt>
                <c:pt idx="9">
                  <c:v>53.03</c:v>
                </c:pt>
                <c:pt idx="10">
                  <c:v>241.94</c:v>
                </c:pt>
                <c:pt idx="11">
                  <c:v>133.53</c:v>
                </c:pt>
                <c:pt idx="12">
                  <c:v>55.01</c:v>
                </c:pt>
                <c:pt idx="13">
                  <c:v>85.54</c:v>
                </c:pt>
                <c:pt idx="14">
                  <c:v>3.15</c:v>
                </c:pt>
                <c:pt idx="15">
                  <c:v>766.33</c:v>
                </c:pt>
                <c:pt idx="16">
                  <c:v>299.92</c:v>
                </c:pt>
                <c:pt idx="17">
                  <c:v>5.4</c:v>
                </c:pt>
                <c:pt idx="18">
                  <c:v>13.96</c:v>
                </c:pt>
                <c:pt idx="19">
                  <c:v>0.72</c:v>
                </c:pt>
                <c:pt idx="20">
                  <c:v>266.97000000000003</c:v>
                </c:pt>
                <c:pt idx="21">
                  <c:v>14.32</c:v>
                </c:pt>
                <c:pt idx="22">
                  <c:v>4.68</c:v>
                </c:pt>
                <c:pt idx="23">
                  <c:v>4.95</c:v>
                </c:pt>
                <c:pt idx="24">
                  <c:v>0.18</c:v>
                </c:pt>
                <c:pt idx="25">
                  <c:v>207.18</c:v>
                </c:pt>
                <c:pt idx="26">
                  <c:v>108.59</c:v>
                </c:pt>
                <c:pt idx="27">
                  <c:v>0.27</c:v>
                </c:pt>
                <c:pt idx="28">
                  <c:v>0.72</c:v>
                </c:pt>
                <c:pt idx="29">
                  <c:v>1.26</c:v>
                </c:pt>
                <c:pt idx="30">
                  <c:v>28.18</c:v>
                </c:pt>
                <c:pt idx="31">
                  <c:v>440.38</c:v>
                </c:pt>
                <c:pt idx="32">
                  <c:v>6.93</c:v>
                </c:pt>
                <c:pt idx="33">
                  <c:v>69.87</c:v>
                </c:pt>
                <c:pt idx="34">
                  <c:v>38.72</c:v>
                </c:pt>
                <c:pt idx="35">
                  <c:v>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4-4F98-92F5-4C83DE255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0493455"/>
        <c:axId val="1900496783"/>
      </c:barChart>
      <c:catAx>
        <c:axId val="1900493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0496783"/>
        <c:crosses val="autoZero"/>
        <c:auto val="1"/>
        <c:lblAlgn val="ctr"/>
        <c:lblOffset val="100"/>
        <c:noMultiLvlLbl val="0"/>
      </c:catAx>
      <c:valAx>
        <c:axId val="1900496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 of</a:t>
                </a:r>
                <a:r>
                  <a:rPr lang="en-US" baseline="0"/>
                  <a:t> change per hectare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49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LULC Change Detection Area Distribution (2006-2016)</a:t>
            </a:r>
          </a:p>
          <a:p>
            <a:pPr algn="ctr" rtl="0"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'2006-2016'!$E$1</c:f>
              <c:strCache>
                <c:ptCount val="1"/>
                <c:pt idx="0">
                  <c:v>Area_ha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'2006-2016'!$D$2:$D$33</c:f>
              <c:strCache>
                <c:ptCount val="32"/>
                <c:pt idx="0">
                  <c:v>Sparse Forest to Dense Forest</c:v>
                </c:pt>
                <c:pt idx="1">
                  <c:v>Dense Forest to Agriculture</c:v>
                </c:pt>
                <c:pt idx="2">
                  <c:v>Agriculture to Exposed Surface</c:v>
                </c:pt>
                <c:pt idx="3">
                  <c:v>Stable Dense Forest</c:v>
                </c:pt>
                <c:pt idx="4">
                  <c:v>Dense Forest to Sparse Forest</c:v>
                </c:pt>
                <c:pt idx="5">
                  <c:v>Stable Grassland</c:v>
                </c:pt>
                <c:pt idx="6">
                  <c:v>Stable Exposed Surface</c:v>
                </c:pt>
                <c:pt idx="7">
                  <c:v>Exposed Surface to Grassland</c:v>
                </c:pt>
                <c:pt idx="8">
                  <c:v>Agriculture to Sparse Forest</c:v>
                </c:pt>
                <c:pt idx="9">
                  <c:v>Exposed Surface to Rock</c:v>
                </c:pt>
                <c:pt idx="10">
                  <c:v>Sparse Forest to Agriculture</c:v>
                </c:pt>
                <c:pt idx="11">
                  <c:v>Agriculture to Grassland</c:v>
                </c:pt>
                <c:pt idx="12">
                  <c:v>Grassland to Exposed Surface</c:v>
                </c:pt>
                <c:pt idx="13">
                  <c:v>Rock to Agriculture</c:v>
                </c:pt>
                <c:pt idx="14">
                  <c:v>Dense Forest to Rock</c:v>
                </c:pt>
                <c:pt idx="15">
                  <c:v>Stable Agriculture</c:v>
                </c:pt>
                <c:pt idx="16">
                  <c:v>Grassland to Agriculture</c:v>
                </c:pt>
                <c:pt idx="17">
                  <c:v>Stable Rock</c:v>
                </c:pt>
                <c:pt idx="18">
                  <c:v>Exposed Surface to Sparse Forest</c:v>
                </c:pt>
                <c:pt idx="19">
                  <c:v>Rock to Exposed Surface</c:v>
                </c:pt>
                <c:pt idx="20">
                  <c:v>Agriculture to Dense Forest</c:v>
                </c:pt>
                <c:pt idx="21">
                  <c:v>Rock to Sparse Forest</c:v>
                </c:pt>
                <c:pt idx="22">
                  <c:v>Rock to Grassland</c:v>
                </c:pt>
                <c:pt idx="23">
                  <c:v>Dense Forest to Grassland</c:v>
                </c:pt>
                <c:pt idx="24">
                  <c:v>Grassland to Rock</c:v>
                </c:pt>
                <c:pt idx="25">
                  <c:v>Grassland to Sparse Forest</c:v>
                </c:pt>
                <c:pt idx="26">
                  <c:v>Stable Sparse Forest</c:v>
                </c:pt>
                <c:pt idx="27">
                  <c:v>Sparse Forest to Rock</c:v>
                </c:pt>
                <c:pt idx="28">
                  <c:v>Sparse Forest to Grassland</c:v>
                </c:pt>
                <c:pt idx="29">
                  <c:v>Sparse Forest to Exposed Surface</c:v>
                </c:pt>
                <c:pt idx="30">
                  <c:v>Exposed Surface to Agriculture</c:v>
                </c:pt>
                <c:pt idx="31">
                  <c:v>Agriculture to Rock</c:v>
                </c:pt>
              </c:strCache>
            </c:strRef>
          </c:cat>
          <c:val>
            <c:numRef>
              <c:f>'2006-2016'!$E$2:$E$33</c:f>
              <c:numCache>
                <c:formatCode>General</c:formatCode>
                <c:ptCount val="32"/>
                <c:pt idx="0">
                  <c:v>98.054000000000002</c:v>
                </c:pt>
                <c:pt idx="1">
                  <c:v>8.2840000000000007</c:v>
                </c:pt>
                <c:pt idx="2">
                  <c:v>81.936000000000007</c:v>
                </c:pt>
                <c:pt idx="3">
                  <c:v>59.066000000000003</c:v>
                </c:pt>
                <c:pt idx="4">
                  <c:v>48.981000000000002</c:v>
                </c:pt>
                <c:pt idx="5">
                  <c:v>331.976</c:v>
                </c:pt>
                <c:pt idx="6">
                  <c:v>112.008</c:v>
                </c:pt>
                <c:pt idx="7">
                  <c:v>39.256999999999998</c:v>
                </c:pt>
                <c:pt idx="8">
                  <c:v>240.85599999999999</c:v>
                </c:pt>
                <c:pt idx="9">
                  <c:v>113.899</c:v>
                </c:pt>
                <c:pt idx="10">
                  <c:v>131.27799999999999</c:v>
                </c:pt>
                <c:pt idx="11">
                  <c:v>333.41500000000002</c:v>
                </c:pt>
                <c:pt idx="12">
                  <c:v>28.632000000000001</c:v>
                </c:pt>
                <c:pt idx="13">
                  <c:v>370.06</c:v>
                </c:pt>
                <c:pt idx="14">
                  <c:v>1.7110000000000001</c:v>
                </c:pt>
                <c:pt idx="15">
                  <c:v>802.15800000000002</c:v>
                </c:pt>
                <c:pt idx="16">
                  <c:v>229.51</c:v>
                </c:pt>
                <c:pt idx="17">
                  <c:v>499.72</c:v>
                </c:pt>
                <c:pt idx="18">
                  <c:v>10.535</c:v>
                </c:pt>
                <c:pt idx="19">
                  <c:v>23.32</c:v>
                </c:pt>
                <c:pt idx="20">
                  <c:v>2.7909999999999999</c:v>
                </c:pt>
                <c:pt idx="21">
                  <c:v>53.662999999999997</c:v>
                </c:pt>
                <c:pt idx="22">
                  <c:v>59.966000000000001</c:v>
                </c:pt>
                <c:pt idx="23">
                  <c:v>0.45</c:v>
                </c:pt>
                <c:pt idx="24">
                  <c:v>111.379</c:v>
                </c:pt>
                <c:pt idx="25">
                  <c:v>11.435</c:v>
                </c:pt>
                <c:pt idx="26">
                  <c:v>428.13900000000001</c:v>
                </c:pt>
                <c:pt idx="27">
                  <c:v>94.361999999999995</c:v>
                </c:pt>
                <c:pt idx="28">
                  <c:v>10.265000000000001</c:v>
                </c:pt>
                <c:pt idx="29">
                  <c:v>29.263000000000002</c:v>
                </c:pt>
                <c:pt idx="30">
                  <c:v>99.673000000000002</c:v>
                </c:pt>
                <c:pt idx="31">
                  <c:v>462.89299999999997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E-4DCB-BA2E-668254F5B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2672207"/>
        <c:axId val="1892678031"/>
      </c:barChart>
      <c:catAx>
        <c:axId val="1892672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Change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2678031"/>
        <c:crosses val="autoZero"/>
        <c:auto val="1"/>
        <c:lblAlgn val="ctr"/>
        <c:lblOffset val="100"/>
        <c:noMultiLvlLbl val="0"/>
      </c:catAx>
      <c:valAx>
        <c:axId val="1892678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Area of chnage per hectare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267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LULC Change Detection Area Distribution (1996-2006)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'1996-2006'!$E$1</c:f>
              <c:strCache>
                <c:ptCount val="1"/>
                <c:pt idx="0">
                  <c:v>Area_ha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'1996-2006'!$D$2:$D$37</c:f>
              <c:strCache>
                <c:ptCount val="36"/>
                <c:pt idx="0">
                  <c:v>Dense Forest to Exposed Surface</c:v>
                </c:pt>
                <c:pt idx="1">
                  <c:v>Dense Forest to Grassland</c:v>
                </c:pt>
                <c:pt idx="2">
                  <c:v>Exposed Surface to Dense Forest</c:v>
                </c:pt>
                <c:pt idx="3">
                  <c:v>Dense Forest to Rock</c:v>
                </c:pt>
                <c:pt idx="4">
                  <c:v>Grassland to Dense Forest</c:v>
                </c:pt>
                <c:pt idx="5">
                  <c:v>Exposed Surface to Sparse Forest</c:v>
                </c:pt>
                <c:pt idx="6">
                  <c:v>Sparse Forest to Exposed Surface</c:v>
                </c:pt>
                <c:pt idx="7">
                  <c:v>Rock to Dense Forest</c:v>
                </c:pt>
                <c:pt idx="8">
                  <c:v>Sparse Forest to Grassland</c:v>
                </c:pt>
                <c:pt idx="9">
                  <c:v>Dense Forest to Agriculture</c:v>
                </c:pt>
                <c:pt idx="10">
                  <c:v>Agriculture to Dense Forest</c:v>
                </c:pt>
                <c:pt idx="11">
                  <c:v>Grassland to Sparse Forest</c:v>
                </c:pt>
                <c:pt idx="12">
                  <c:v>Sparse Forest to Rock</c:v>
                </c:pt>
                <c:pt idx="13">
                  <c:v>Exposed Surface to Rock</c:v>
                </c:pt>
                <c:pt idx="14">
                  <c:v>Stable Dense Forest</c:v>
                </c:pt>
                <c:pt idx="15">
                  <c:v>Agriculture to Exposed Surface</c:v>
                </c:pt>
                <c:pt idx="16">
                  <c:v>Agriculture to Grassland</c:v>
                </c:pt>
                <c:pt idx="17">
                  <c:v>Rock to Sparse Forest</c:v>
                </c:pt>
                <c:pt idx="18">
                  <c:v>Sparse Forest to Dense Forest</c:v>
                </c:pt>
                <c:pt idx="19">
                  <c:v>Rock to Exposed Surface</c:v>
                </c:pt>
                <c:pt idx="20">
                  <c:v>Stable Exposed Surface</c:v>
                </c:pt>
                <c:pt idx="21">
                  <c:v>Dense Forest to Sparse Forest</c:v>
                </c:pt>
                <c:pt idx="22">
                  <c:v>Exposed Surface to Grassland</c:v>
                </c:pt>
                <c:pt idx="23">
                  <c:v>Sparse Forest to Agriculture</c:v>
                </c:pt>
                <c:pt idx="24">
                  <c:v>Rock to Grassland</c:v>
                </c:pt>
                <c:pt idx="25">
                  <c:v>Exposed Surface to Agriculture</c:v>
                </c:pt>
                <c:pt idx="26">
                  <c:v>Grassland to Exposed Surface</c:v>
                </c:pt>
                <c:pt idx="27">
                  <c:v>Grassland to Rock</c:v>
                </c:pt>
                <c:pt idx="28">
                  <c:v>Agriculture to Rock</c:v>
                </c:pt>
                <c:pt idx="29">
                  <c:v>Agriculture to Sparse Forest</c:v>
                </c:pt>
                <c:pt idx="30">
                  <c:v>Stable Sparse Forest</c:v>
                </c:pt>
                <c:pt idx="31">
                  <c:v>Stable Grassland</c:v>
                </c:pt>
                <c:pt idx="32">
                  <c:v>Stable Agriculture</c:v>
                </c:pt>
                <c:pt idx="33">
                  <c:v>Stable Rock</c:v>
                </c:pt>
                <c:pt idx="34">
                  <c:v>Rock to Agriculture</c:v>
                </c:pt>
                <c:pt idx="35">
                  <c:v>Grassland to Agriculture</c:v>
                </c:pt>
              </c:strCache>
            </c:strRef>
          </c:cat>
          <c:val>
            <c:numRef>
              <c:f>'1996-2006'!$E$2:$E$37</c:f>
              <c:numCache>
                <c:formatCode>General</c:formatCode>
                <c:ptCount val="36"/>
                <c:pt idx="0">
                  <c:v>0.01</c:v>
                </c:pt>
                <c:pt idx="1">
                  <c:v>7.0000000000000007E-2</c:v>
                </c:pt>
                <c:pt idx="2">
                  <c:v>0.21</c:v>
                </c:pt>
                <c:pt idx="3">
                  <c:v>0.52</c:v>
                </c:pt>
                <c:pt idx="4">
                  <c:v>1.7</c:v>
                </c:pt>
                <c:pt idx="5">
                  <c:v>1.73</c:v>
                </c:pt>
                <c:pt idx="6">
                  <c:v>3.46</c:v>
                </c:pt>
                <c:pt idx="7">
                  <c:v>3.61</c:v>
                </c:pt>
                <c:pt idx="8">
                  <c:v>4.5999999999999996</c:v>
                </c:pt>
                <c:pt idx="9">
                  <c:v>7.27</c:v>
                </c:pt>
                <c:pt idx="10">
                  <c:v>7.69</c:v>
                </c:pt>
                <c:pt idx="11">
                  <c:v>13</c:v>
                </c:pt>
                <c:pt idx="12">
                  <c:v>16.27</c:v>
                </c:pt>
                <c:pt idx="13">
                  <c:v>16.760000000000002</c:v>
                </c:pt>
                <c:pt idx="14">
                  <c:v>42.44</c:v>
                </c:pt>
                <c:pt idx="15">
                  <c:v>44.68</c:v>
                </c:pt>
                <c:pt idx="16">
                  <c:v>47.69</c:v>
                </c:pt>
                <c:pt idx="17">
                  <c:v>62.36</c:v>
                </c:pt>
                <c:pt idx="18">
                  <c:v>62.57</c:v>
                </c:pt>
                <c:pt idx="19">
                  <c:v>75.650000000000006</c:v>
                </c:pt>
                <c:pt idx="20">
                  <c:v>89.82</c:v>
                </c:pt>
                <c:pt idx="21">
                  <c:v>92.82</c:v>
                </c:pt>
                <c:pt idx="22">
                  <c:v>105.68</c:v>
                </c:pt>
                <c:pt idx="23">
                  <c:v>110.1</c:v>
                </c:pt>
                <c:pt idx="24">
                  <c:v>128.29</c:v>
                </c:pt>
                <c:pt idx="25">
                  <c:v>145.99</c:v>
                </c:pt>
                <c:pt idx="26">
                  <c:v>161.41</c:v>
                </c:pt>
                <c:pt idx="27">
                  <c:v>242.32</c:v>
                </c:pt>
                <c:pt idx="28">
                  <c:v>248.41</c:v>
                </c:pt>
                <c:pt idx="29">
                  <c:v>260.93</c:v>
                </c:pt>
                <c:pt idx="30">
                  <c:v>357.11</c:v>
                </c:pt>
                <c:pt idx="31">
                  <c:v>424.21</c:v>
                </c:pt>
                <c:pt idx="32">
                  <c:v>453.08</c:v>
                </c:pt>
                <c:pt idx="33">
                  <c:v>480.98</c:v>
                </c:pt>
                <c:pt idx="34">
                  <c:v>535.64</c:v>
                </c:pt>
                <c:pt idx="35">
                  <c:v>667.46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4-48CD-9DFF-CD0864ABF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2671375"/>
        <c:axId val="1892673039"/>
      </c:barChart>
      <c:catAx>
        <c:axId val="1892671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Change 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2673039"/>
        <c:crosses val="autoZero"/>
        <c:auto val="1"/>
        <c:lblAlgn val="ctr"/>
        <c:lblOffset val="100"/>
        <c:noMultiLvlLbl val="0"/>
      </c:catAx>
      <c:valAx>
        <c:axId val="1892673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Area of change per hectare</a:t>
                </a:r>
              </a:p>
            </c:rich>
          </c:tx>
          <c:layout>
            <c:manualLayout>
              <c:xMode val="edge"/>
              <c:yMode val="edge"/>
              <c:x val="0.60901739629899188"/>
              <c:y val="0.92022819065425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267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10</xdr:row>
      <xdr:rowOff>95250</xdr:rowOff>
    </xdr:from>
    <xdr:to>
      <xdr:col>11</xdr:col>
      <xdr:colOff>61912</xdr:colOff>
      <xdr:row>26</xdr:row>
      <xdr:rowOff>152400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481012</xdr:colOff>
      <xdr:row>12</xdr:row>
      <xdr:rowOff>76200</xdr:rowOff>
    </xdr:from>
    <xdr:to>
      <xdr:col>13</xdr:col>
      <xdr:colOff>176212</xdr:colOff>
      <xdr:row>26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12</xdr:row>
      <xdr:rowOff>76200</xdr:rowOff>
    </xdr:from>
    <xdr:to>
      <xdr:col>13</xdr:col>
      <xdr:colOff>176212</xdr:colOff>
      <xdr:row>26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290512</xdr:colOff>
      <xdr:row>12</xdr:row>
      <xdr:rowOff>76200</xdr:rowOff>
    </xdr:from>
    <xdr:to>
      <xdr:col>14</xdr:col>
      <xdr:colOff>595312</xdr:colOff>
      <xdr:row>26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1071562</xdr:colOff>
      <xdr:row>12</xdr:row>
      <xdr:rowOff>76200</xdr:rowOff>
    </xdr:from>
    <xdr:to>
      <xdr:col>10</xdr:col>
      <xdr:colOff>166687</xdr:colOff>
      <xdr:row>26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452436</xdr:colOff>
      <xdr:row>6</xdr:row>
      <xdr:rowOff>190498</xdr:rowOff>
    </xdr:from>
    <xdr:to>
      <xdr:col>17</xdr:col>
      <xdr:colOff>590550</xdr:colOff>
      <xdr:row>27</xdr:row>
      <xdr:rowOff>19049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</xdr:colOff>
      <xdr:row>2</xdr:row>
      <xdr:rowOff>114300</xdr:rowOff>
    </xdr:from>
    <xdr:to>
      <xdr:col>16</xdr:col>
      <xdr:colOff>342900</xdr:colOff>
      <xdr:row>8</xdr:row>
      <xdr:rowOff>342900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433387</xdr:colOff>
      <xdr:row>1</xdr:row>
      <xdr:rowOff>600075</xdr:rowOff>
    </xdr:from>
    <xdr:to>
      <xdr:col>16</xdr:col>
      <xdr:colOff>333375</xdr:colOff>
      <xdr:row>7</xdr:row>
      <xdr:rowOff>390525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opLeftCell="B1" workbookViewId="0">
      <selection activeCell="C27" sqref="C27"/>
    </sheetView>
  </sheetViews>
  <sheetFormatPr defaultRowHeight="15" x14ac:dyDescent="0.25"/>
  <cols>
    <col min="1" max="1" width="33" hidden="1" customWidth="1"/>
    <col min="2" max="2" width="26" customWidth="1"/>
    <col min="3" max="3" width="36.85546875" style="3" customWidth="1"/>
    <col min="8" max="8" width="21.7109375" customWidth="1"/>
  </cols>
  <sheetData>
    <row r="1" spans="1:3" x14ac:dyDescent="0.25">
      <c r="A1" s="1" t="s">
        <v>0</v>
      </c>
      <c r="B1" t="s">
        <v>7</v>
      </c>
      <c r="C1" s="2" t="s">
        <v>1</v>
      </c>
    </row>
    <row r="2" spans="1:3" x14ac:dyDescent="0.25">
      <c r="A2" s="1">
        <v>1</v>
      </c>
      <c r="B2" t="s">
        <v>6</v>
      </c>
      <c r="C2" s="2">
        <v>84.546999999999997</v>
      </c>
    </row>
    <row r="3" spans="1:3" x14ac:dyDescent="0.25">
      <c r="A3" s="1">
        <v>2</v>
      </c>
      <c r="B3" t="s">
        <v>5</v>
      </c>
      <c r="C3" s="2">
        <v>1451.886</v>
      </c>
    </row>
    <row r="4" spans="1:3" x14ac:dyDescent="0.25">
      <c r="A4" s="1">
        <v>3</v>
      </c>
      <c r="B4" t="s">
        <v>3</v>
      </c>
      <c r="C4" s="2">
        <v>333.50599999999997</v>
      </c>
    </row>
    <row r="5" spans="1:3" x14ac:dyDescent="0.25">
      <c r="A5" s="1">
        <v>4</v>
      </c>
      <c r="B5" t="s">
        <v>2</v>
      </c>
      <c r="C5" s="2">
        <v>2589.08</v>
      </c>
    </row>
    <row r="6" spans="1:3" x14ac:dyDescent="0.25">
      <c r="A6" s="1">
        <v>5</v>
      </c>
      <c r="B6" t="s">
        <v>8</v>
      </c>
      <c r="C6" s="2">
        <v>271.55900000000003</v>
      </c>
    </row>
    <row r="7" spans="1:3" x14ac:dyDescent="0.25">
      <c r="A7" s="1">
        <v>6</v>
      </c>
      <c r="B7" t="s">
        <v>4</v>
      </c>
      <c r="C7" s="2">
        <v>198.357</v>
      </c>
    </row>
    <row r="9" spans="1:3" x14ac:dyDescent="0.25">
      <c r="C9" s="3">
        <f>SUM(C2:C8)</f>
        <v>4928.9350000000004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topLeftCell="B1" workbookViewId="0">
      <selection activeCell="B1" sqref="B1:B1048576"/>
    </sheetView>
  </sheetViews>
  <sheetFormatPr defaultRowHeight="15" x14ac:dyDescent="0.25"/>
  <cols>
    <col min="1" max="1" width="27.7109375" hidden="1" customWidth="1"/>
    <col min="2" max="2" width="33.7109375" customWidth="1"/>
    <col min="3" max="3" width="21.7109375" customWidth="1"/>
  </cols>
  <sheetData>
    <row r="1" spans="1:4" x14ac:dyDescent="0.25">
      <c r="A1" s="1" t="s">
        <v>0</v>
      </c>
      <c r="C1" t="s">
        <v>7</v>
      </c>
      <c r="D1" s="1" t="s">
        <v>1</v>
      </c>
    </row>
    <row r="2" spans="1:4" x14ac:dyDescent="0.25">
      <c r="A2" s="1">
        <v>1</v>
      </c>
      <c r="C2" t="s">
        <v>6</v>
      </c>
      <c r="D2" s="1">
        <v>159.91200000000001</v>
      </c>
    </row>
    <row r="3" spans="1:4" x14ac:dyDescent="0.25">
      <c r="A3" s="1">
        <v>2</v>
      </c>
      <c r="C3" t="s">
        <v>5</v>
      </c>
      <c r="D3" s="1">
        <v>793.60900000000004</v>
      </c>
    </row>
    <row r="4" spans="1:4" x14ac:dyDescent="0.25">
      <c r="A4" s="1">
        <v>3</v>
      </c>
      <c r="C4" t="s">
        <v>3</v>
      </c>
      <c r="D4" s="1">
        <v>775.33</v>
      </c>
    </row>
    <row r="5" spans="1:4" x14ac:dyDescent="0.25">
      <c r="A5" s="1">
        <v>4</v>
      </c>
      <c r="C5" t="s">
        <v>2</v>
      </c>
      <c r="D5" s="1">
        <v>1640.963</v>
      </c>
    </row>
    <row r="6" spans="1:4" x14ac:dyDescent="0.25">
      <c r="A6" s="1">
        <v>5</v>
      </c>
      <c r="C6" t="s">
        <v>8</v>
      </c>
      <c r="D6" s="1">
        <v>1283.963</v>
      </c>
    </row>
    <row r="7" spans="1:4" x14ac:dyDescent="0.25">
      <c r="A7" s="1">
        <v>6</v>
      </c>
      <c r="C7" t="s">
        <v>4</v>
      </c>
      <c r="D7" s="1">
        <v>275.15899999999999</v>
      </c>
    </row>
    <row r="8" spans="1:4" x14ac:dyDescent="0.25">
      <c r="D8">
        <f>SUM(D2:D7)</f>
        <v>4928.9359999999997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Q10" sqref="Q10"/>
    </sheetView>
  </sheetViews>
  <sheetFormatPr defaultRowHeight="15" x14ac:dyDescent="0.25"/>
  <cols>
    <col min="4" max="4" width="21.7109375" customWidth="1"/>
  </cols>
  <sheetData>
    <row r="1" spans="1:5" x14ac:dyDescent="0.25">
      <c r="A1" s="1" t="s">
        <v>86</v>
      </c>
      <c r="B1" s="1" t="s">
        <v>0</v>
      </c>
      <c r="D1" t="s">
        <v>7</v>
      </c>
      <c r="E1" s="1" t="s">
        <v>1</v>
      </c>
    </row>
    <row r="2" spans="1:5" x14ac:dyDescent="0.25">
      <c r="A2" s="1">
        <v>3</v>
      </c>
      <c r="B2" s="1">
        <v>1</v>
      </c>
      <c r="D2" t="s">
        <v>6</v>
      </c>
      <c r="E2" s="1">
        <v>118.492</v>
      </c>
    </row>
    <row r="3" spans="1:5" x14ac:dyDescent="0.25">
      <c r="A3" s="1">
        <v>1</v>
      </c>
      <c r="B3" s="1">
        <v>2</v>
      </c>
      <c r="D3" t="s">
        <v>5</v>
      </c>
      <c r="E3" s="1">
        <v>791.36</v>
      </c>
    </row>
    <row r="4" spans="1:5" x14ac:dyDescent="0.25">
      <c r="A4" s="1">
        <v>5</v>
      </c>
      <c r="B4" s="1">
        <v>3</v>
      </c>
      <c r="D4" t="s">
        <v>3</v>
      </c>
      <c r="E4" s="1">
        <v>712.93200000000002</v>
      </c>
    </row>
    <row r="5" spans="1:5" x14ac:dyDescent="0.25">
      <c r="A5" s="1">
        <v>2</v>
      </c>
      <c r="B5" s="1">
        <v>4</v>
      </c>
      <c r="D5" t="s">
        <v>2</v>
      </c>
      <c r="E5" s="1">
        <v>1924.049</v>
      </c>
    </row>
    <row r="6" spans="1:5" x14ac:dyDescent="0.25">
      <c r="A6" s="1">
        <v>12</v>
      </c>
      <c r="B6" s="1">
        <v>5</v>
      </c>
      <c r="D6" t="s">
        <v>8</v>
      </c>
      <c r="E6" s="1">
        <v>1006.729</v>
      </c>
    </row>
    <row r="7" spans="1:5" x14ac:dyDescent="0.25">
      <c r="A7" s="1">
        <v>4</v>
      </c>
      <c r="B7" s="1">
        <v>6</v>
      </c>
      <c r="D7" t="s">
        <v>4</v>
      </c>
      <c r="E7" s="1">
        <v>375.37200000000001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G5" sqref="G5"/>
    </sheetView>
  </sheetViews>
  <sheetFormatPr defaultRowHeight="15" x14ac:dyDescent="0.25"/>
  <cols>
    <col min="1" max="1" width="34" customWidth="1"/>
    <col min="3" max="3" width="21.7109375" customWidth="1"/>
    <col min="4" max="4" width="27.28515625" customWidth="1"/>
  </cols>
  <sheetData>
    <row r="1" spans="1:4" x14ac:dyDescent="0.25">
      <c r="A1" s="1" t="s">
        <v>0</v>
      </c>
      <c r="C1" t="s">
        <v>7</v>
      </c>
      <c r="D1" s="1" t="s">
        <v>1</v>
      </c>
    </row>
    <row r="2" spans="1:4" x14ac:dyDescent="0.25">
      <c r="A2" s="1">
        <v>1</v>
      </c>
      <c r="C2" t="s">
        <v>6</v>
      </c>
      <c r="D2" s="1">
        <v>143.304</v>
      </c>
    </row>
    <row r="3" spans="1:4" x14ac:dyDescent="0.25">
      <c r="A3" s="1">
        <v>2</v>
      </c>
      <c r="C3" t="s">
        <v>5</v>
      </c>
      <c r="D3" s="1">
        <v>554.85</v>
      </c>
    </row>
    <row r="4" spans="1:4" x14ac:dyDescent="0.25">
      <c r="A4" s="1">
        <v>3</v>
      </c>
      <c r="C4" t="s">
        <v>3</v>
      </c>
      <c r="D4" s="1">
        <v>1512.3689999999999</v>
      </c>
    </row>
    <row r="5" spans="1:4" x14ac:dyDescent="0.25">
      <c r="A5" s="1">
        <v>4</v>
      </c>
      <c r="C5" t="s">
        <v>2</v>
      </c>
      <c r="D5" s="1">
        <v>1064.81</v>
      </c>
    </row>
    <row r="6" spans="1:4" x14ac:dyDescent="0.25">
      <c r="A6" s="1">
        <v>5</v>
      </c>
      <c r="C6" t="s">
        <v>8</v>
      </c>
      <c r="D6" s="1">
        <v>1290.8520000000001</v>
      </c>
    </row>
    <row r="7" spans="1:4" x14ac:dyDescent="0.25">
      <c r="A7" s="1">
        <v>6</v>
      </c>
      <c r="C7" t="s">
        <v>4</v>
      </c>
      <c r="D7" s="1">
        <v>361.35899999999998</v>
      </c>
    </row>
    <row r="8" spans="1:4" x14ac:dyDescent="0.25">
      <c r="D8">
        <f>SUM(D2:D7)</f>
        <v>4927.5440000000008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G2" sqref="G2"/>
    </sheetView>
  </sheetViews>
  <sheetFormatPr defaultRowHeight="15" x14ac:dyDescent="0.25"/>
  <cols>
    <col min="1" max="1" width="8.5703125" customWidth="1"/>
    <col min="2" max="2" width="12.140625" customWidth="1"/>
    <col min="3" max="3" width="15.140625" customWidth="1"/>
    <col min="5" max="5" width="32.28515625" customWidth="1"/>
    <col min="6" max="6" width="12.85546875" customWidth="1"/>
  </cols>
  <sheetData>
    <row r="1" spans="1:6" x14ac:dyDescent="0.25">
      <c r="A1" s="1" t="s">
        <v>0</v>
      </c>
      <c r="B1" s="1" t="s">
        <v>9</v>
      </c>
      <c r="C1" s="1" t="s">
        <v>10</v>
      </c>
      <c r="E1" s="1" t="s">
        <v>47</v>
      </c>
      <c r="F1" s="1" t="s">
        <v>1</v>
      </c>
    </row>
    <row r="2" spans="1:6" x14ac:dyDescent="0.25">
      <c r="A2" s="1">
        <v>2</v>
      </c>
      <c r="B2" s="1">
        <v>2</v>
      </c>
      <c r="C2" s="1" t="s">
        <v>13</v>
      </c>
      <c r="E2" s="1" t="s">
        <v>48</v>
      </c>
      <c r="F2" s="1">
        <v>455.15</v>
      </c>
    </row>
    <row r="3" spans="1:6" x14ac:dyDescent="0.25">
      <c r="A3" s="1">
        <v>5</v>
      </c>
      <c r="B3" s="1">
        <v>5</v>
      </c>
      <c r="C3" s="1" t="s">
        <v>38</v>
      </c>
      <c r="E3" s="1" t="s">
        <v>49</v>
      </c>
      <c r="F3" s="1">
        <v>240.41</v>
      </c>
    </row>
    <row r="4" spans="1:6" x14ac:dyDescent="0.25">
      <c r="A4" s="1">
        <v>3</v>
      </c>
      <c r="B4" s="1">
        <v>3</v>
      </c>
      <c r="C4" s="1" t="s">
        <v>36</v>
      </c>
      <c r="E4" s="1" t="s">
        <v>50</v>
      </c>
      <c r="F4" s="1">
        <v>188.36</v>
      </c>
    </row>
    <row r="5" spans="1:6" x14ac:dyDescent="0.25">
      <c r="A5" s="1">
        <v>6</v>
      </c>
      <c r="B5" s="1">
        <v>6</v>
      </c>
      <c r="C5" s="1" t="s">
        <v>25</v>
      </c>
      <c r="E5" s="1" t="s">
        <v>51</v>
      </c>
      <c r="F5" s="1">
        <v>43.85</v>
      </c>
    </row>
    <row r="6" spans="1:6" x14ac:dyDescent="0.25">
      <c r="A6" s="1">
        <v>1</v>
      </c>
      <c r="B6" s="1">
        <v>1</v>
      </c>
      <c r="C6" s="1" t="s">
        <v>40</v>
      </c>
      <c r="E6" s="1" t="s">
        <v>52</v>
      </c>
      <c r="F6" s="1">
        <v>20.89</v>
      </c>
    </row>
    <row r="7" spans="1:6" x14ac:dyDescent="0.25">
      <c r="A7" s="1">
        <v>4</v>
      </c>
      <c r="B7" s="1">
        <v>4</v>
      </c>
      <c r="C7" s="1" t="s">
        <v>24</v>
      </c>
      <c r="E7" s="1" t="s">
        <v>53</v>
      </c>
      <c r="F7" s="1">
        <v>1078.49</v>
      </c>
    </row>
    <row r="8" spans="1:6" x14ac:dyDescent="0.25">
      <c r="A8" s="1">
        <v>2</v>
      </c>
      <c r="B8" s="1">
        <v>5</v>
      </c>
      <c r="C8" s="1" t="s">
        <v>32</v>
      </c>
      <c r="E8" s="1" t="s">
        <v>54</v>
      </c>
      <c r="F8" s="1">
        <v>13.87</v>
      </c>
    </row>
    <row r="9" spans="1:6" x14ac:dyDescent="0.25">
      <c r="A9" s="1">
        <v>2</v>
      </c>
      <c r="B9" s="1">
        <v>3</v>
      </c>
      <c r="C9" s="1" t="s">
        <v>11</v>
      </c>
      <c r="E9" s="1" t="s">
        <v>55</v>
      </c>
      <c r="F9" s="1">
        <v>14.59</v>
      </c>
    </row>
    <row r="10" spans="1:6" x14ac:dyDescent="0.25">
      <c r="A10" s="1">
        <v>2</v>
      </c>
      <c r="B10" s="1">
        <v>6</v>
      </c>
      <c r="C10" s="1" t="s">
        <v>39</v>
      </c>
      <c r="E10" s="1" t="s">
        <v>56</v>
      </c>
      <c r="F10" s="1">
        <v>15.04</v>
      </c>
    </row>
    <row r="11" spans="1:6" x14ac:dyDescent="0.25">
      <c r="A11" s="1">
        <v>2</v>
      </c>
      <c r="B11" s="1">
        <v>1</v>
      </c>
      <c r="C11" s="1" t="s">
        <v>42</v>
      </c>
      <c r="E11" s="1" t="s">
        <v>57</v>
      </c>
      <c r="F11" s="1">
        <v>53.03</v>
      </c>
    </row>
    <row r="12" spans="1:6" x14ac:dyDescent="0.25">
      <c r="A12" s="1">
        <v>2</v>
      </c>
      <c r="B12" s="1">
        <v>4</v>
      </c>
      <c r="C12" s="1" t="s">
        <v>35</v>
      </c>
      <c r="E12" s="1" t="s">
        <v>58</v>
      </c>
      <c r="F12" s="1">
        <v>241.94</v>
      </c>
    </row>
    <row r="13" spans="1:6" x14ac:dyDescent="0.25">
      <c r="A13" s="1">
        <v>5</v>
      </c>
      <c r="B13" s="1">
        <v>2</v>
      </c>
      <c r="C13" s="1" t="s">
        <v>45</v>
      </c>
      <c r="E13" s="1" t="s">
        <v>59</v>
      </c>
      <c r="F13" s="1">
        <v>133.53</v>
      </c>
    </row>
    <row r="14" spans="1:6" x14ac:dyDescent="0.25">
      <c r="A14" s="1">
        <v>5</v>
      </c>
      <c r="B14" s="1">
        <v>3</v>
      </c>
      <c r="C14" s="1" t="s">
        <v>17</v>
      </c>
      <c r="E14" s="1" t="s">
        <v>60</v>
      </c>
      <c r="F14" s="1">
        <v>55.01</v>
      </c>
    </row>
    <row r="15" spans="1:6" x14ac:dyDescent="0.25">
      <c r="A15" s="1">
        <v>5</v>
      </c>
      <c r="B15" s="1">
        <v>6</v>
      </c>
      <c r="C15" s="1" t="s">
        <v>33</v>
      </c>
      <c r="E15" s="1" t="s">
        <v>61</v>
      </c>
      <c r="F15" s="1">
        <v>85.54</v>
      </c>
    </row>
    <row r="16" spans="1:6" x14ac:dyDescent="0.25">
      <c r="A16" s="1">
        <v>5</v>
      </c>
      <c r="B16" s="1">
        <v>1</v>
      </c>
      <c r="C16" s="1" t="s">
        <v>12</v>
      </c>
      <c r="E16" s="1" t="s">
        <v>62</v>
      </c>
      <c r="F16" s="1">
        <v>3.15</v>
      </c>
    </row>
    <row r="17" spans="1:6" x14ac:dyDescent="0.25">
      <c r="A17" s="1">
        <v>5</v>
      </c>
      <c r="B17" s="1">
        <v>4</v>
      </c>
      <c r="C17" s="1" t="s">
        <v>14</v>
      </c>
      <c r="E17" s="1" t="s">
        <v>63</v>
      </c>
      <c r="F17" s="1">
        <v>766.33</v>
      </c>
    </row>
    <row r="18" spans="1:6" x14ac:dyDescent="0.25">
      <c r="A18" s="1">
        <v>3</v>
      </c>
      <c r="B18" s="1">
        <v>2</v>
      </c>
      <c r="C18" s="1" t="s">
        <v>15</v>
      </c>
      <c r="E18" s="1" t="s">
        <v>64</v>
      </c>
      <c r="F18" s="1">
        <v>299.92</v>
      </c>
    </row>
    <row r="19" spans="1:6" x14ac:dyDescent="0.25">
      <c r="A19" s="1">
        <v>3</v>
      </c>
      <c r="B19" s="1">
        <v>5</v>
      </c>
      <c r="C19" s="1" t="s">
        <v>44</v>
      </c>
      <c r="E19" s="1" t="s">
        <v>65</v>
      </c>
      <c r="F19" s="1">
        <v>5.4</v>
      </c>
    </row>
    <row r="20" spans="1:6" x14ac:dyDescent="0.25">
      <c r="A20" s="1">
        <v>3</v>
      </c>
      <c r="B20" s="1">
        <v>6</v>
      </c>
      <c r="C20" s="1" t="s">
        <v>41</v>
      </c>
      <c r="E20" s="1" t="s">
        <v>66</v>
      </c>
      <c r="F20" s="1">
        <v>13.96</v>
      </c>
    </row>
    <row r="21" spans="1:6" x14ac:dyDescent="0.25">
      <c r="A21" s="1">
        <v>3</v>
      </c>
      <c r="B21" s="1">
        <v>1</v>
      </c>
      <c r="C21" s="1" t="s">
        <v>18</v>
      </c>
      <c r="E21" s="1" t="s">
        <v>67</v>
      </c>
      <c r="F21" s="1">
        <v>0.72</v>
      </c>
    </row>
    <row r="22" spans="1:6" x14ac:dyDescent="0.25">
      <c r="A22" s="1">
        <v>3</v>
      </c>
      <c r="B22" s="1">
        <v>4</v>
      </c>
      <c r="C22" s="1" t="s">
        <v>34</v>
      </c>
      <c r="E22" s="1" t="s">
        <v>68</v>
      </c>
      <c r="F22" s="1">
        <v>266.97000000000003</v>
      </c>
    </row>
    <row r="23" spans="1:6" x14ac:dyDescent="0.25">
      <c r="A23" s="1">
        <v>6</v>
      </c>
      <c r="B23" s="1">
        <v>2</v>
      </c>
      <c r="C23" s="1" t="s">
        <v>29</v>
      </c>
      <c r="E23" s="1" t="s">
        <v>69</v>
      </c>
      <c r="F23" s="1">
        <v>14.32</v>
      </c>
    </row>
    <row r="24" spans="1:6" x14ac:dyDescent="0.25">
      <c r="A24" s="1">
        <v>6</v>
      </c>
      <c r="B24" s="1">
        <v>5</v>
      </c>
      <c r="C24" s="1" t="s">
        <v>20</v>
      </c>
      <c r="E24" s="1" t="s">
        <v>70</v>
      </c>
      <c r="F24" s="1">
        <v>4.68</v>
      </c>
    </row>
    <row r="25" spans="1:6" x14ac:dyDescent="0.25">
      <c r="A25" s="1">
        <v>6</v>
      </c>
      <c r="B25" s="1">
        <v>3</v>
      </c>
      <c r="C25" s="1" t="s">
        <v>28</v>
      </c>
      <c r="E25" s="1" t="s">
        <v>71</v>
      </c>
      <c r="F25" s="1">
        <v>4.95</v>
      </c>
    </row>
    <row r="26" spans="1:6" x14ac:dyDescent="0.25">
      <c r="A26" s="1">
        <v>6</v>
      </c>
      <c r="B26" s="1">
        <v>1</v>
      </c>
      <c r="C26" s="1" t="s">
        <v>26</v>
      </c>
      <c r="E26" s="1" t="s">
        <v>72</v>
      </c>
      <c r="F26" s="1">
        <v>0.18</v>
      </c>
    </row>
    <row r="27" spans="1:6" x14ac:dyDescent="0.25">
      <c r="A27" s="1">
        <v>6</v>
      </c>
      <c r="B27" s="1">
        <v>4</v>
      </c>
      <c r="C27" s="1" t="s">
        <v>22</v>
      </c>
      <c r="E27" s="1" t="s">
        <v>73</v>
      </c>
      <c r="F27" s="1">
        <v>207.18</v>
      </c>
    </row>
    <row r="28" spans="1:6" x14ac:dyDescent="0.25">
      <c r="A28" s="1">
        <v>1</v>
      </c>
      <c r="B28" s="1">
        <v>2</v>
      </c>
      <c r="C28" s="1" t="s">
        <v>37</v>
      </c>
      <c r="E28" s="1" t="s">
        <v>74</v>
      </c>
      <c r="F28" s="1">
        <v>108.59</v>
      </c>
    </row>
    <row r="29" spans="1:6" x14ac:dyDescent="0.25">
      <c r="A29" s="1">
        <v>1</v>
      </c>
      <c r="B29" s="1">
        <v>5</v>
      </c>
      <c r="C29" s="1" t="s">
        <v>31</v>
      </c>
      <c r="E29" s="1" t="s">
        <v>75</v>
      </c>
      <c r="F29" s="1">
        <v>0.27</v>
      </c>
    </row>
    <row r="30" spans="1:6" x14ac:dyDescent="0.25">
      <c r="A30" s="1">
        <v>1</v>
      </c>
      <c r="B30" s="1">
        <v>3</v>
      </c>
      <c r="C30" s="1" t="s">
        <v>46</v>
      </c>
      <c r="E30" s="1" t="s">
        <v>76</v>
      </c>
      <c r="F30" s="1">
        <v>0.72</v>
      </c>
    </row>
    <row r="31" spans="1:6" x14ac:dyDescent="0.25">
      <c r="A31" s="1">
        <v>1</v>
      </c>
      <c r="B31" s="1">
        <v>6</v>
      </c>
      <c r="C31" s="1" t="s">
        <v>30</v>
      </c>
      <c r="E31" s="1" t="s">
        <v>77</v>
      </c>
      <c r="F31" s="1">
        <v>1.26</v>
      </c>
    </row>
    <row r="32" spans="1:6" x14ac:dyDescent="0.25">
      <c r="A32" s="1">
        <v>1</v>
      </c>
      <c r="B32" s="1">
        <v>4</v>
      </c>
      <c r="C32" s="1" t="s">
        <v>43</v>
      </c>
      <c r="E32" s="1" t="s">
        <v>78</v>
      </c>
      <c r="F32" s="1">
        <v>28.18</v>
      </c>
    </row>
    <row r="33" spans="1:6" x14ac:dyDescent="0.25">
      <c r="A33" s="1">
        <v>4</v>
      </c>
      <c r="B33" s="1">
        <v>2</v>
      </c>
      <c r="C33" s="1" t="s">
        <v>21</v>
      </c>
      <c r="E33" s="1" t="s">
        <v>79</v>
      </c>
      <c r="F33" s="1">
        <v>440.38</v>
      </c>
    </row>
    <row r="34" spans="1:6" x14ac:dyDescent="0.25">
      <c r="A34" s="1">
        <v>4</v>
      </c>
      <c r="B34" s="1">
        <v>5</v>
      </c>
      <c r="C34" s="1" t="s">
        <v>23</v>
      </c>
      <c r="E34" s="1" t="s">
        <v>80</v>
      </c>
      <c r="F34" s="1">
        <v>6.93</v>
      </c>
    </row>
    <row r="35" spans="1:6" x14ac:dyDescent="0.25">
      <c r="A35" s="1">
        <v>4</v>
      </c>
      <c r="B35" s="1">
        <v>3</v>
      </c>
      <c r="C35" s="1" t="s">
        <v>19</v>
      </c>
      <c r="E35" s="1" t="s">
        <v>81</v>
      </c>
      <c r="F35" s="1">
        <v>69.87</v>
      </c>
    </row>
    <row r="36" spans="1:6" x14ac:dyDescent="0.25">
      <c r="A36" s="1">
        <v>4</v>
      </c>
      <c r="B36" s="1">
        <v>6</v>
      </c>
      <c r="C36" s="1" t="s">
        <v>16</v>
      </c>
      <c r="E36" s="1" t="s">
        <v>82</v>
      </c>
      <c r="F36" s="1">
        <v>38.72</v>
      </c>
    </row>
    <row r="37" spans="1:6" x14ac:dyDescent="0.25">
      <c r="A37" s="1">
        <v>4</v>
      </c>
      <c r="B37" s="1">
        <v>1</v>
      </c>
      <c r="C37" s="1" t="s">
        <v>27</v>
      </c>
      <c r="E37" s="1" t="s">
        <v>83</v>
      </c>
      <c r="F37" s="1">
        <v>6.57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M10" sqref="M10"/>
    </sheetView>
  </sheetViews>
  <sheetFormatPr defaultRowHeight="15" x14ac:dyDescent="0.25"/>
  <cols>
    <col min="1" max="1" width="19.28515625" customWidth="1"/>
    <col min="2" max="2" width="30.5703125" customWidth="1"/>
    <col min="3" max="3" width="12.42578125" customWidth="1"/>
    <col min="4" max="4" width="28.42578125" customWidth="1"/>
    <col min="5" max="5" width="19.7109375" customWidth="1"/>
  </cols>
  <sheetData>
    <row r="1" spans="1:5" ht="30" x14ac:dyDescent="0.25">
      <c r="A1" s="1" t="s">
        <v>0</v>
      </c>
      <c r="B1" s="1" t="s">
        <v>9</v>
      </c>
      <c r="C1" s="1" t="s">
        <v>84</v>
      </c>
      <c r="D1" s="1" t="s">
        <v>47</v>
      </c>
      <c r="E1" s="1" t="s">
        <v>85</v>
      </c>
    </row>
    <row r="2" spans="1:5" ht="60" x14ac:dyDescent="0.25">
      <c r="A2" s="1">
        <v>2</v>
      </c>
      <c r="B2" s="1">
        <v>1</v>
      </c>
      <c r="C2" s="1" t="s">
        <v>42</v>
      </c>
      <c r="D2" s="1" t="s">
        <v>57</v>
      </c>
      <c r="E2" s="1">
        <v>98.054000000000002</v>
      </c>
    </row>
    <row r="3" spans="1:5" ht="60" x14ac:dyDescent="0.25">
      <c r="A3" s="1">
        <v>1</v>
      </c>
      <c r="B3" s="1">
        <v>4</v>
      </c>
      <c r="C3" s="1" t="s">
        <v>43</v>
      </c>
      <c r="D3" s="1" t="s">
        <v>78</v>
      </c>
      <c r="E3" s="1">
        <v>8.2840000000000007</v>
      </c>
    </row>
    <row r="4" spans="1:5" ht="60" x14ac:dyDescent="0.25">
      <c r="A4" s="1">
        <v>4</v>
      </c>
      <c r="B4" s="1">
        <v>6</v>
      </c>
      <c r="C4" s="1" t="s">
        <v>16</v>
      </c>
      <c r="D4" s="1" t="s">
        <v>82</v>
      </c>
      <c r="E4" s="1">
        <v>81.936000000000007</v>
      </c>
    </row>
    <row r="5" spans="1:5" ht="45" x14ac:dyDescent="0.25">
      <c r="A5" s="1">
        <v>1</v>
      </c>
      <c r="B5" s="1">
        <v>1</v>
      </c>
      <c r="C5" s="1" t="s">
        <v>40</v>
      </c>
      <c r="D5" s="1" t="s">
        <v>52</v>
      </c>
      <c r="E5" s="1">
        <v>59.066000000000003</v>
      </c>
    </row>
    <row r="6" spans="1:5" ht="60" x14ac:dyDescent="0.25">
      <c r="A6" s="1">
        <v>1</v>
      </c>
      <c r="B6" s="1">
        <v>2</v>
      </c>
      <c r="C6" s="1" t="s">
        <v>37</v>
      </c>
      <c r="D6" s="1" t="s">
        <v>74</v>
      </c>
      <c r="E6" s="1">
        <v>48.981000000000002</v>
      </c>
    </row>
    <row r="7" spans="1:5" ht="45" x14ac:dyDescent="0.25">
      <c r="A7" s="1">
        <v>3</v>
      </c>
      <c r="B7" s="1">
        <v>3</v>
      </c>
      <c r="C7" s="1" t="s">
        <v>36</v>
      </c>
      <c r="D7" s="1" t="s">
        <v>50</v>
      </c>
      <c r="E7" s="1">
        <v>331.976</v>
      </c>
    </row>
    <row r="8" spans="1:5" ht="45" x14ac:dyDescent="0.25">
      <c r="A8" s="1">
        <v>6</v>
      </c>
      <c r="B8" s="1">
        <v>6</v>
      </c>
      <c r="C8" s="1" t="s">
        <v>25</v>
      </c>
      <c r="D8" s="1" t="s">
        <v>51</v>
      </c>
      <c r="E8" s="1">
        <v>112.008</v>
      </c>
    </row>
    <row r="9" spans="1:5" ht="75" x14ac:dyDescent="0.25">
      <c r="A9" s="1">
        <v>6</v>
      </c>
      <c r="B9" s="1">
        <v>3</v>
      </c>
      <c r="C9" s="1" t="s">
        <v>28</v>
      </c>
      <c r="D9" s="1" t="s">
        <v>71</v>
      </c>
      <c r="E9" s="1">
        <v>39.256999999999998</v>
      </c>
    </row>
    <row r="10" spans="1:5" ht="60" x14ac:dyDescent="0.25">
      <c r="A10" s="1">
        <v>4</v>
      </c>
      <c r="B10" s="1">
        <v>2</v>
      </c>
      <c r="C10" s="1" t="s">
        <v>21</v>
      </c>
      <c r="D10" s="1" t="s">
        <v>79</v>
      </c>
      <c r="E10" s="1">
        <v>240.85599999999999</v>
      </c>
    </row>
    <row r="11" spans="1:5" ht="45" x14ac:dyDescent="0.25">
      <c r="A11" s="1">
        <v>6</v>
      </c>
      <c r="B11" s="1">
        <v>5</v>
      </c>
      <c r="C11" s="1" t="s">
        <v>20</v>
      </c>
      <c r="D11" s="1" t="s">
        <v>70</v>
      </c>
      <c r="E11" s="1">
        <v>113.899</v>
      </c>
    </row>
    <row r="12" spans="1:5" x14ac:dyDescent="0.25">
      <c r="A12" s="1">
        <v>2</v>
      </c>
      <c r="B12" s="1">
        <v>4</v>
      </c>
      <c r="C12" s="1" t="s">
        <v>35</v>
      </c>
      <c r="D12" s="1" t="s">
        <v>58</v>
      </c>
      <c r="E12" s="1">
        <v>131.27799999999999</v>
      </c>
    </row>
    <row r="13" spans="1:5" x14ac:dyDescent="0.25">
      <c r="A13" s="1">
        <v>4</v>
      </c>
      <c r="B13" s="1">
        <v>3</v>
      </c>
      <c r="C13" s="1" t="s">
        <v>19</v>
      </c>
      <c r="D13" s="1" t="s">
        <v>81</v>
      </c>
      <c r="E13" s="1">
        <v>333.41500000000002</v>
      </c>
    </row>
    <row r="14" spans="1:5" x14ac:dyDescent="0.25">
      <c r="A14" s="1">
        <v>3</v>
      </c>
      <c r="B14" s="1">
        <v>6</v>
      </c>
      <c r="C14" s="1" t="s">
        <v>41</v>
      </c>
      <c r="D14" s="1" t="s">
        <v>66</v>
      </c>
      <c r="E14" s="1">
        <v>28.632000000000001</v>
      </c>
    </row>
    <row r="15" spans="1:5" x14ac:dyDescent="0.25">
      <c r="A15" s="1">
        <v>5</v>
      </c>
      <c r="B15" s="1">
        <v>4</v>
      </c>
      <c r="C15" s="1" t="s">
        <v>14</v>
      </c>
      <c r="D15" s="1" t="s">
        <v>63</v>
      </c>
      <c r="E15" s="1">
        <v>370.06</v>
      </c>
    </row>
    <row r="16" spans="1:5" x14ac:dyDescent="0.25">
      <c r="A16" s="1">
        <v>1</v>
      </c>
      <c r="B16" s="1">
        <v>5</v>
      </c>
      <c r="C16" s="1" t="s">
        <v>31</v>
      </c>
      <c r="D16" s="1" t="s">
        <v>75</v>
      </c>
      <c r="E16" s="1">
        <v>1.7110000000000001</v>
      </c>
    </row>
    <row r="17" spans="1:5" x14ac:dyDescent="0.25">
      <c r="A17" s="1">
        <v>4</v>
      </c>
      <c r="B17" s="1">
        <v>4</v>
      </c>
      <c r="C17" s="1" t="s">
        <v>24</v>
      </c>
      <c r="D17" s="1" t="s">
        <v>53</v>
      </c>
      <c r="E17" s="1">
        <v>802.15800000000002</v>
      </c>
    </row>
    <row r="18" spans="1:5" x14ac:dyDescent="0.25">
      <c r="A18" s="1">
        <v>3</v>
      </c>
      <c r="B18" s="1">
        <v>4</v>
      </c>
      <c r="C18" s="1" t="s">
        <v>34</v>
      </c>
      <c r="D18" s="1" t="s">
        <v>68</v>
      </c>
      <c r="E18" s="1">
        <v>229.51</v>
      </c>
    </row>
    <row r="19" spans="1:5" x14ac:dyDescent="0.25">
      <c r="A19" s="1">
        <v>5</v>
      </c>
      <c r="B19" s="1">
        <v>5</v>
      </c>
      <c r="C19" s="1" t="s">
        <v>38</v>
      </c>
      <c r="D19" s="1" t="s">
        <v>49</v>
      </c>
      <c r="E19" s="1">
        <v>499.72</v>
      </c>
    </row>
    <row r="20" spans="1:5" ht="30" x14ac:dyDescent="0.25">
      <c r="A20" s="1">
        <v>6</v>
      </c>
      <c r="B20" s="1">
        <v>2</v>
      </c>
      <c r="C20" s="1" t="s">
        <v>29</v>
      </c>
      <c r="D20" s="1" t="s">
        <v>69</v>
      </c>
      <c r="E20" s="1">
        <v>10.535</v>
      </c>
    </row>
    <row r="21" spans="1:5" x14ac:dyDescent="0.25">
      <c r="A21" s="1">
        <v>5</v>
      </c>
      <c r="B21" s="1">
        <v>6</v>
      </c>
      <c r="C21" s="1" t="s">
        <v>33</v>
      </c>
      <c r="D21" s="1" t="s">
        <v>61</v>
      </c>
      <c r="E21" s="1">
        <v>23.32</v>
      </c>
    </row>
    <row r="22" spans="1:5" x14ac:dyDescent="0.25">
      <c r="A22" s="1">
        <v>4</v>
      </c>
      <c r="B22" s="1">
        <v>1</v>
      </c>
      <c r="C22" s="1" t="s">
        <v>27</v>
      </c>
      <c r="D22" s="1" t="s">
        <v>83</v>
      </c>
      <c r="E22" s="1">
        <v>2.7909999999999999</v>
      </c>
    </row>
    <row r="23" spans="1:5" x14ac:dyDescent="0.25">
      <c r="A23" s="1">
        <v>5</v>
      </c>
      <c r="B23" s="1">
        <v>2</v>
      </c>
      <c r="C23" s="1" t="s">
        <v>45</v>
      </c>
      <c r="D23" s="1" t="s">
        <v>59</v>
      </c>
      <c r="E23" s="1">
        <v>53.662999999999997</v>
      </c>
    </row>
    <row r="24" spans="1:5" x14ac:dyDescent="0.25">
      <c r="A24" s="1">
        <v>5</v>
      </c>
      <c r="B24" s="1">
        <v>3</v>
      </c>
      <c r="C24" s="1" t="s">
        <v>17</v>
      </c>
      <c r="D24" s="1" t="s">
        <v>60</v>
      </c>
      <c r="E24" s="1">
        <v>59.966000000000001</v>
      </c>
    </row>
    <row r="25" spans="1:5" x14ac:dyDescent="0.25">
      <c r="A25" s="1">
        <v>1</v>
      </c>
      <c r="B25" s="1">
        <v>3</v>
      </c>
      <c r="C25" s="1" t="s">
        <v>46</v>
      </c>
      <c r="D25" s="1" t="s">
        <v>76</v>
      </c>
      <c r="E25" s="1">
        <v>0.45</v>
      </c>
    </row>
    <row r="26" spans="1:5" x14ac:dyDescent="0.25">
      <c r="A26" s="1">
        <v>3</v>
      </c>
      <c r="B26" s="1">
        <v>5</v>
      </c>
      <c r="C26" s="1" t="s">
        <v>44</v>
      </c>
      <c r="D26" s="1" t="s">
        <v>65</v>
      </c>
      <c r="E26" s="1">
        <v>111.379</v>
      </c>
    </row>
    <row r="27" spans="1:5" x14ac:dyDescent="0.25">
      <c r="A27" s="1">
        <v>3</v>
      </c>
      <c r="B27" s="1">
        <v>2</v>
      </c>
      <c r="C27" s="1" t="s">
        <v>15</v>
      </c>
      <c r="D27" s="1" t="s">
        <v>64</v>
      </c>
      <c r="E27" s="1">
        <v>11.435</v>
      </c>
    </row>
    <row r="28" spans="1:5" x14ac:dyDescent="0.25">
      <c r="A28" s="1">
        <v>2</v>
      </c>
      <c r="B28" s="1">
        <v>2</v>
      </c>
      <c r="C28" s="1" t="s">
        <v>13</v>
      </c>
      <c r="D28" s="1" t="s">
        <v>48</v>
      </c>
      <c r="E28" s="1">
        <v>428.13900000000001</v>
      </c>
    </row>
    <row r="29" spans="1:5" x14ac:dyDescent="0.25">
      <c r="A29" s="1">
        <v>2</v>
      </c>
      <c r="B29" s="1">
        <v>5</v>
      </c>
      <c r="C29" s="1" t="s">
        <v>32</v>
      </c>
      <c r="D29" s="1" t="s">
        <v>54</v>
      </c>
      <c r="E29" s="1">
        <v>94.361999999999995</v>
      </c>
    </row>
    <row r="30" spans="1:5" x14ac:dyDescent="0.25">
      <c r="A30" s="1">
        <v>2</v>
      </c>
      <c r="B30" s="1">
        <v>3</v>
      </c>
      <c r="C30" s="1" t="s">
        <v>11</v>
      </c>
      <c r="D30" s="1" t="s">
        <v>55</v>
      </c>
      <c r="E30" s="1">
        <v>10.265000000000001</v>
      </c>
    </row>
    <row r="31" spans="1:5" ht="30" x14ac:dyDescent="0.25">
      <c r="A31" s="1">
        <v>2</v>
      </c>
      <c r="B31" s="1">
        <v>6</v>
      </c>
      <c r="C31" s="1" t="s">
        <v>39</v>
      </c>
      <c r="D31" s="1" t="s">
        <v>56</v>
      </c>
      <c r="E31" s="1">
        <v>29.263000000000002</v>
      </c>
    </row>
    <row r="32" spans="1:5" ht="30" x14ac:dyDescent="0.25">
      <c r="A32" s="1">
        <v>6</v>
      </c>
      <c r="B32" s="1">
        <v>4</v>
      </c>
      <c r="C32" s="1" t="s">
        <v>22</v>
      </c>
      <c r="D32" s="1" t="s">
        <v>73</v>
      </c>
      <c r="E32" s="1">
        <v>99.673000000000002</v>
      </c>
    </row>
    <row r="33" spans="1:5" x14ac:dyDescent="0.25">
      <c r="A33" s="1">
        <v>4</v>
      </c>
      <c r="B33" s="1">
        <v>5</v>
      </c>
      <c r="C33" s="1" t="s">
        <v>23</v>
      </c>
      <c r="D33" s="1" t="s">
        <v>80</v>
      </c>
      <c r="E33" s="1">
        <v>462.89299999999997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opLeftCell="A16" workbookViewId="0">
      <selection activeCell="D36" sqref="D36"/>
    </sheetView>
  </sheetViews>
  <sheetFormatPr defaultRowHeight="15" x14ac:dyDescent="0.25"/>
  <cols>
    <col min="1" max="1" width="15" customWidth="1"/>
    <col min="2" max="2" width="13.28515625" customWidth="1"/>
    <col min="3" max="3" width="13.140625" customWidth="1"/>
    <col min="4" max="4" width="24.42578125" customWidth="1"/>
    <col min="5" max="5" width="39.28515625" customWidth="1"/>
  </cols>
  <sheetData>
    <row r="1" spans="1:5" ht="30" x14ac:dyDescent="0.25">
      <c r="A1" s="1" t="s">
        <v>0</v>
      </c>
      <c r="B1" s="1" t="s">
        <v>9</v>
      </c>
      <c r="C1" s="1" t="s">
        <v>84</v>
      </c>
      <c r="D1" s="1" t="s">
        <v>47</v>
      </c>
      <c r="E1" s="1" t="s">
        <v>85</v>
      </c>
    </row>
    <row r="2" spans="1:5" ht="60" x14ac:dyDescent="0.25">
      <c r="A2" s="1">
        <v>1</v>
      </c>
      <c r="B2" s="1">
        <v>6</v>
      </c>
      <c r="C2" s="1" t="s">
        <v>30</v>
      </c>
      <c r="D2" s="1" t="s">
        <v>77</v>
      </c>
      <c r="E2" s="1">
        <v>0.01</v>
      </c>
    </row>
    <row r="3" spans="1:5" ht="60" x14ac:dyDescent="0.25">
      <c r="A3" s="1">
        <v>1</v>
      </c>
      <c r="B3" s="1">
        <v>3</v>
      </c>
      <c r="C3" s="1" t="s">
        <v>46</v>
      </c>
      <c r="D3" s="1" t="s">
        <v>76</v>
      </c>
      <c r="E3" s="1">
        <v>7.0000000000000007E-2</v>
      </c>
    </row>
    <row r="4" spans="1:5" ht="60" x14ac:dyDescent="0.25">
      <c r="A4" s="1">
        <v>6</v>
      </c>
      <c r="B4" s="1">
        <v>1</v>
      </c>
      <c r="C4" s="1" t="s">
        <v>26</v>
      </c>
      <c r="D4" s="1" t="s">
        <v>72</v>
      </c>
      <c r="E4" s="1">
        <v>0.21</v>
      </c>
    </row>
    <row r="5" spans="1:5" ht="45" x14ac:dyDescent="0.25">
      <c r="A5" s="1">
        <v>1</v>
      </c>
      <c r="B5" s="1">
        <v>5</v>
      </c>
      <c r="C5" s="1" t="s">
        <v>31</v>
      </c>
      <c r="D5" s="1" t="s">
        <v>75</v>
      </c>
      <c r="E5" s="1">
        <v>0.52</v>
      </c>
    </row>
    <row r="6" spans="1:5" ht="60" x14ac:dyDescent="0.25">
      <c r="A6" s="1">
        <v>3</v>
      </c>
      <c r="B6" s="1">
        <v>1</v>
      </c>
      <c r="C6" s="1" t="s">
        <v>18</v>
      </c>
      <c r="D6" s="1" t="s">
        <v>67</v>
      </c>
      <c r="E6" s="1">
        <v>1.7</v>
      </c>
    </row>
    <row r="7" spans="1:5" ht="60" x14ac:dyDescent="0.25">
      <c r="A7" s="1">
        <v>6</v>
      </c>
      <c r="B7" s="1">
        <v>2</v>
      </c>
      <c r="C7" s="1" t="s">
        <v>29</v>
      </c>
      <c r="D7" s="1" t="s">
        <v>69</v>
      </c>
      <c r="E7" s="1">
        <v>1.73</v>
      </c>
    </row>
    <row r="8" spans="1:5" ht="60" x14ac:dyDescent="0.25">
      <c r="A8" s="1">
        <v>2</v>
      </c>
      <c r="B8" s="1">
        <v>6</v>
      </c>
      <c r="C8" s="1" t="s">
        <v>39</v>
      </c>
      <c r="D8" s="1" t="s">
        <v>56</v>
      </c>
      <c r="E8" s="1">
        <v>3.46</v>
      </c>
    </row>
    <row r="9" spans="1:5" ht="45" x14ac:dyDescent="0.25">
      <c r="A9" s="1">
        <v>5</v>
      </c>
      <c r="B9" s="1">
        <v>1</v>
      </c>
      <c r="C9" s="1" t="s">
        <v>12</v>
      </c>
      <c r="D9" s="1" t="s">
        <v>62</v>
      </c>
      <c r="E9" s="1">
        <v>3.61</v>
      </c>
    </row>
    <row r="10" spans="1:5" ht="60" x14ac:dyDescent="0.25">
      <c r="A10" s="1">
        <v>2</v>
      </c>
      <c r="B10" s="1">
        <v>3</v>
      </c>
      <c r="C10" s="1" t="s">
        <v>11</v>
      </c>
      <c r="D10" s="1" t="s">
        <v>55</v>
      </c>
      <c r="E10" s="1">
        <v>4.5999999999999996</v>
      </c>
    </row>
    <row r="11" spans="1:5" ht="60" x14ac:dyDescent="0.25">
      <c r="A11" s="1">
        <v>1</v>
      </c>
      <c r="B11" s="1">
        <v>4</v>
      </c>
      <c r="C11" s="1" t="s">
        <v>43</v>
      </c>
      <c r="D11" s="1" t="s">
        <v>78</v>
      </c>
      <c r="E11" s="1">
        <v>7.27</v>
      </c>
    </row>
    <row r="12" spans="1:5" ht="30" x14ac:dyDescent="0.25">
      <c r="A12" s="1">
        <v>4</v>
      </c>
      <c r="B12" s="1">
        <v>1</v>
      </c>
      <c r="C12" s="1" t="s">
        <v>27</v>
      </c>
      <c r="D12" s="1" t="s">
        <v>83</v>
      </c>
      <c r="E12" s="1">
        <v>7.69</v>
      </c>
    </row>
    <row r="13" spans="1:5" ht="30" x14ac:dyDescent="0.25">
      <c r="A13" s="1">
        <v>3</v>
      </c>
      <c r="B13" s="1">
        <v>2</v>
      </c>
      <c r="C13" s="1" t="s">
        <v>15</v>
      </c>
      <c r="D13" s="1" t="s">
        <v>64</v>
      </c>
      <c r="E13" s="1">
        <v>13</v>
      </c>
    </row>
    <row r="14" spans="1:5" x14ac:dyDescent="0.25">
      <c r="A14" s="1">
        <v>2</v>
      </c>
      <c r="B14" s="1">
        <v>5</v>
      </c>
      <c r="C14" s="1" t="s">
        <v>32</v>
      </c>
      <c r="D14" s="1" t="s">
        <v>54</v>
      </c>
      <c r="E14" s="1">
        <v>16.27</v>
      </c>
    </row>
    <row r="15" spans="1:5" x14ac:dyDescent="0.25">
      <c r="A15" s="1">
        <v>6</v>
      </c>
      <c r="B15" s="1">
        <v>5</v>
      </c>
      <c r="C15" s="1" t="s">
        <v>20</v>
      </c>
      <c r="D15" s="1" t="s">
        <v>70</v>
      </c>
      <c r="E15" s="1">
        <v>16.760000000000002</v>
      </c>
    </row>
    <row r="16" spans="1:5" x14ac:dyDescent="0.25">
      <c r="A16" s="1">
        <v>1</v>
      </c>
      <c r="B16" s="1">
        <v>1</v>
      </c>
      <c r="C16" s="1" t="s">
        <v>40</v>
      </c>
      <c r="D16" s="1" t="s">
        <v>52</v>
      </c>
      <c r="E16" s="1">
        <v>42.44</v>
      </c>
    </row>
    <row r="17" spans="1:5" ht="30" x14ac:dyDescent="0.25">
      <c r="A17" s="1">
        <v>4</v>
      </c>
      <c r="B17" s="1">
        <v>6</v>
      </c>
      <c r="C17" s="1" t="s">
        <v>16</v>
      </c>
      <c r="D17" s="1" t="s">
        <v>82</v>
      </c>
      <c r="E17" s="1">
        <v>44.68</v>
      </c>
    </row>
    <row r="18" spans="1:5" x14ac:dyDescent="0.25">
      <c r="A18" s="1">
        <v>4</v>
      </c>
      <c r="B18" s="1">
        <v>3</v>
      </c>
      <c r="C18" s="1" t="s">
        <v>19</v>
      </c>
      <c r="D18" s="1" t="s">
        <v>81</v>
      </c>
      <c r="E18" s="1">
        <v>47.69</v>
      </c>
    </row>
    <row r="19" spans="1:5" x14ac:dyDescent="0.25">
      <c r="A19" s="1">
        <v>5</v>
      </c>
      <c r="B19" s="1">
        <v>2</v>
      </c>
      <c r="C19" s="1" t="s">
        <v>45</v>
      </c>
      <c r="D19" s="1" t="s">
        <v>59</v>
      </c>
      <c r="E19" s="1">
        <v>62.36</v>
      </c>
    </row>
    <row r="20" spans="1:5" ht="30" x14ac:dyDescent="0.25">
      <c r="A20" s="1">
        <v>2</v>
      </c>
      <c r="B20" s="1">
        <v>1</v>
      </c>
      <c r="C20" s="1" t="s">
        <v>42</v>
      </c>
      <c r="D20" s="1" t="s">
        <v>57</v>
      </c>
      <c r="E20" s="1">
        <v>62.57</v>
      </c>
    </row>
    <row r="21" spans="1:5" x14ac:dyDescent="0.25">
      <c r="A21" s="1">
        <v>5</v>
      </c>
      <c r="B21" s="1">
        <v>6</v>
      </c>
      <c r="C21" s="1" t="s">
        <v>33</v>
      </c>
      <c r="D21" s="1" t="s">
        <v>61</v>
      </c>
      <c r="E21" s="1">
        <v>75.650000000000006</v>
      </c>
    </row>
    <row r="22" spans="1:5" x14ac:dyDescent="0.25">
      <c r="A22" s="1">
        <v>6</v>
      </c>
      <c r="B22" s="1">
        <v>6</v>
      </c>
      <c r="C22" s="1" t="s">
        <v>25</v>
      </c>
      <c r="D22" s="1" t="s">
        <v>51</v>
      </c>
      <c r="E22" s="1">
        <v>89.82</v>
      </c>
    </row>
    <row r="23" spans="1:5" ht="30" x14ac:dyDescent="0.25">
      <c r="A23" s="1">
        <v>1</v>
      </c>
      <c r="B23" s="1">
        <v>2</v>
      </c>
      <c r="C23" s="1" t="s">
        <v>37</v>
      </c>
      <c r="D23" s="1" t="s">
        <v>74</v>
      </c>
      <c r="E23" s="1">
        <v>92.82</v>
      </c>
    </row>
    <row r="24" spans="1:5" ht="30" x14ac:dyDescent="0.25">
      <c r="A24" s="1">
        <v>6</v>
      </c>
      <c r="B24" s="1">
        <v>3</v>
      </c>
      <c r="C24" s="1" t="s">
        <v>28</v>
      </c>
      <c r="D24" s="1" t="s">
        <v>71</v>
      </c>
      <c r="E24" s="1">
        <v>105.68</v>
      </c>
    </row>
    <row r="25" spans="1:5" ht="30" x14ac:dyDescent="0.25">
      <c r="A25" s="1">
        <v>2</v>
      </c>
      <c r="B25" s="1">
        <v>4</v>
      </c>
      <c r="C25" s="1" t="s">
        <v>35</v>
      </c>
      <c r="D25" s="1" t="s">
        <v>58</v>
      </c>
      <c r="E25" s="1">
        <v>110.1</v>
      </c>
    </row>
    <row r="26" spans="1:5" x14ac:dyDescent="0.25">
      <c r="A26" s="1">
        <v>5</v>
      </c>
      <c r="B26" s="1">
        <v>3</v>
      </c>
      <c r="C26" s="1" t="s">
        <v>17</v>
      </c>
      <c r="D26" s="1" t="s">
        <v>60</v>
      </c>
      <c r="E26" s="1">
        <v>128.29</v>
      </c>
    </row>
    <row r="27" spans="1:5" ht="30" x14ac:dyDescent="0.25">
      <c r="A27" s="1">
        <v>6</v>
      </c>
      <c r="B27" s="1">
        <v>4</v>
      </c>
      <c r="C27" s="1" t="s">
        <v>22</v>
      </c>
      <c r="D27" s="1" t="s">
        <v>73</v>
      </c>
      <c r="E27" s="1">
        <v>145.99</v>
      </c>
    </row>
    <row r="28" spans="1:5" ht="30" x14ac:dyDescent="0.25">
      <c r="A28" s="1">
        <v>3</v>
      </c>
      <c r="B28" s="1">
        <v>6</v>
      </c>
      <c r="C28" s="1" t="s">
        <v>41</v>
      </c>
      <c r="D28" s="1" t="s">
        <v>66</v>
      </c>
      <c r="E28" s="1">
        <v>161.41</v>
      </c>
    </row>
    <row r="29" spans="1:5" x14ac:dyDescent="0.25">
      <c r="A29" s="1">
        <v>3</v>
      </c>
      <c r="B29" s="1">
        <v>5</v>
      </c>
      <c r="C29" s="1" t="s">
        <v>44</v>
      </c>
      <c r="D29" s="1" t="s">
        <v>65</v>
      </c>
      <c r="E29" s="1">
        <v>242.32</v>
      </c>
    </row>
    <row r="30" spans="1:5" x14ac:dyDescent="0.25">
      <c r="A30" s="1">
        <v>4</v>
      </c>
      <c r="B30" s="1">
        <v>5</v>
      </c>
      <c r="C30" s="1" t="s">
        <v>23</v>
      </c>
      <c r="D30" s="1" t="s">
        <v>80</v>
      </c>
      <c r="E30" s="1">
        <v>248.41</v>
      </c>
    </row>
    <row r="31" spans="1:5" ht="30" x14ac:dyDescent="0.25">
      <c r="A31" s="1">
        <v>4</v>
      </c>
      <c r="B31" s="1">
        <v>2</v>
      </c>
      <c r="C31" s="1" t="s">
        <v>21</v>
      </c>
      <c r="D31" s="1" t="s">
        <v>79</v>
      </c>
      <c r="E31" s="1">
        <v>260.93</v>
      </c>
    </row>
    <row r="32" spans="1:5" x14ac:dyDescent="0.25">
      <c r="A32" s="1">
        <v>2</v>
      </c>
      <c r="B32" s="1">
        <v>2</v>
      </c>
      <c r="C32" s="1" t="s">
        <v>13</v>
      </c>
      <c r="D32" s="1" t="s">
        <v>48</v>
      </c>
      <c r="E32" s="1">
        <v>357.11</v>
      </c>
    </row>
    <row r="33" spans="1:5" x14ac:dyDescent="0.25">
      <c r="A33" s="1">
        <v>3</v>
      </c>
      <c r="B33" s="1">
        <v>3</v>
      </c>
      <c r="C33" s="1" t="s">
        <v>36</v>
      </c>
      <c r="D33" s="1" t="s">
        <v>50</v>
      </c>
      <c r="E33" s="1">
        <v>424.21</v>
      </c>
    </row>
    <row r="34" spans="1:5" x14ac:dyDescent="0.25">
      <c r="A34" s="1">
        <v>4</v>
      </c>
      <c r="B34" s="1">
        <v>4</v>
      </c>
      <c r="C34" s="1" t="s">
        <v>24</v>
      </c>
      <c r="D34" s="1" t="s">
        <v>53</v>
      </c>
      <c r="E34" s="1">
        <v>453.08</v>
      </c>
    </row>
    <row r="35" spans="1:5" x14ac:dyDescent="0.25">
      <c r="A35" s="1">
        <v>5</v>
      </c>
      <c r="B35" s="1">
        <v>5</v>
      </c>
      <c r="C35" s="1" t="s">
        <v>38</v>
      </c>
      <c r="D35" s="1" t="s">
        <v>49</v>
      </c>
      <c r="E35" s="1">
        <v>480.98</v>
      </c>
    </row>
    <row r="36" spans="1:5" x14ac:dyDescent="0.25">
      <c r="A36" s="1">
        <v>5</v>
      </c>
      <c r="B36" s="1">
        <v>4</v>
      </c>
      <c r="C36" s="1" t="s">
        <v>14</v>
      </c>
      <c r="D36" s="1" t="s">
        <v>63</v>
      </c>
      <c r="E36" s="1">
        <v>535.64</v>
      </c>
    </row>
    <row r="37" spans="1:5" x14ac:dyDescent="0.25">
      <c r="A37" s="1">
        <v>3</v>
      </c>
      <c r="B37" s="1">
        <v>4</v>
      </c>
      <c r="C37" s="1" t="s">
        <v>34</v>
      </c>
      <c r="D37" s="1" t="s">
        <v>68</v>
      </c>
      <c r="E37" s="1">
        <v>667.46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2026</vt:lpstr>
      <vt:lpstr>2016</vt:lpstr>
      <vt:lpstr>2006</vt:lpstr>
      <vt:lpstr>1996</vt:lpstr>
      <vt:lpstr>2016-2026</vt:lpstr>
      <vt:lpstr>2006-2016</vt:lpstr>
      <vt:lpstr>1996-2006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DEE-DELL</dc:creator>
  <cp:lastModifiedBy>DEE-DELL</cp:lastModifiedBy>
  <cp:lastPrinted>2026-05-25T07:19:58Z</cp:lastPrinted>
  <dcterms:created xsi:type="dcterms:W3CDTF">2026-05-24T05:35:56Z</dcterms:created>
  <dcterms:modified xsi:type="dcterms:W3CDTF">2026-05-25T15:50:20Z</dcterms:modified>
</cp:coreProperties>
</file>